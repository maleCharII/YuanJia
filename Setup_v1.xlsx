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45dba343eb289d6/Desktop/"/>
    </mc:Choice>
  </mc:AlternateContent>
  <xr:revisionPtr revIDLastSave="230" documentId="13_ncr:1_{0D765CAF-8D1E-48E6-9E3E-07C7B13BE521}" xr6:coauthVersionLast="47" xr6:coauthVersionMax="47" xr10:uidLastSave="{0194C19C-0E42-4865-9AF1-E3C77E9944C8}"/>
  <bookViews>
    <workbookView xWindow="-120" yWindow="-120" windowWidth="29040" windowHeight="15720" activeTab="2" xr2:uid="{00000000-000D-0000-FFFF-FFFF00000000}"/>
  </bookViews>
  <sheets>
    <sheet name="src_trx" sheetId="2" r:id="rId1"/>
    <sheet name="src_jnl" sheetId="3" r:id="rId2"/>
    <sheet name="stmt" sheetId="5" r:id="rId3"/>
    <sheet name="debug" sheetId="4" r:id="rId4"/>
    <sheet name="config" sheetId="1" r:id="rId5"/>
    <sheet name="dict" sheetId="6" r:id="rId6"/>
  </sheets>
  <definedNames>
    <definedName name="const_default_str">config!$A$2</definedName>
    <definedName name="const_func_ccy">config!$B$3</definedName>
  </definedNames>
  <calcPr calcId="191029"/>
  <pivotCaches>
    <pivotCache cacheId="19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3" l="1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N34" i="3"/>
  <c r="B76" i="3" l="1"/>
  <c r="C76" i="3"/>
  <c r="D76" i="3"/>
  <c r="I76" i="3"/>
  <c r="L76" i="3"/>
  <c r="M76" i="3"/>
  <c r="P76" i="3" s="1"/>
  <c r="N76" i="3"/>
  <c r="O76" i="3" s="1"/>
  <c r="I56" i="3"/>
  <c r="B78" i="3"/>
  <c r="C78" i="3"/>
  <c r="D78" i="3"/>
  <c r="I78" i="3"/>
  <c r="L78" i="3"/>
  <c r="M78" i="3"/>
  <c r="P78" i="3" s="1"/>
  <c r="N78" i="3"/>
  <c r="O78" i="3" s="1"/>
  <c r="I67" i="3"/>
  <c r="I66" i="3"/>
  <c r="I65" i="3"/>
  <c r="I64" i="3"/>
  <c r="I63" i="3"/>
  <c r="I62" i="3"/>
  <c r="I61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7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7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7" i="3"/>
  <c r="I57" i="3"/>
  <c r="I58" i="3"/>
  <c r="I59" i="3"/>
  <c r="I60" i="3"/>
  <c r="I68" i="3"/>
  <c r="I69" i="3"/>
  <c r="I70" i="3"/>
  <c r="I71" i="3"/>
  <c r="I72" i="3"/>
  <c r="I73" i="3"/>
  <c r="I74" i="3"/>
  <c r="I75" i="3"/>
  <c r="I77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7" i="3"/>
  <c r="M57" i="3"/>
  <c r="P57" i="3" s="1"/>
  <c r="M58" i="3"/>
  <c r="P58" i="3" s="1"/>
  <c r="M59" i="3"/>
  <c r="P59" i="3" s="1"/>
  <c r="M60" i="3"/>
  <c r="P60" i="3" s="1"/>
  <c r="M61" i="3"/>
  <c r="P61" i="3" s="1"/>
  <c r="M62" i="3"/>
  <c r="P62" i="3" s="1"/>
  <c r="M63" i="3"/>
  <c r="P63" i="3" s="1"/>
  <c r="M64" i="3"/>
  <c r="P64" i="3" s="1"/>
  <c r="M65" i="3"/>
  <c r="P65" i="3" s="1"/>
  <c r="M66" i="3"/>
  <c r="P66" i="3" s="1"/>
  <c r="M67" i="3"/>
  <c r="P67" i="3" s="1"/>
  <c r="M68" i="3"/>
  <c r="P68" i="3" s="1"/>
  <c r="M69" i="3"/>
  <c r="P69" i="3" s="1"/>
  <c r="M70" i="3"/>
  <c r="P70" i="3" s="1"/>
  <c r="M71" i="3"/>
  <c r="P71" i="3" s="1"/>
  <c r="M72" i="3"/>
  <c r="P72" i="3" s="1"/>
  <c r="M73" i="3"/>
  <c r="P73" i="3" s="1"/>
  <c r="M74" i="3"/>
  <c r="P74" i="3" s="1"/>
  <c r="M75" i="3"/>
  <c r="P75" i="3" s="1"/>
  <c r="M77" i="3"/>
  <c r="P77" i="3" s="1"/>
  <c r="N57" i="3"/>
  <c r="O57" i="3" s="1"/>
  <c r="N58" i="3"/>
  <c r="O58" i="3" s="1"/>
  <c r="N59" i="3"/>
  <c r="O59" i="3" s="1"/>
  <c r="N60" i="3"/>
  <c r="O60" i="3" s="1"/>
  <c r="N61" i="3"/>
  <c r="O61" i="3" s="1"/>
  <c r="N62" i="3"/>
  <c r="O62" i="3" s="1"/>
  <c r="N63" i="3"/>
  <c r="O63" i="3" s="1"/>
  <c r="N64" i="3"/>
  <c r="O64" i="3" s="1"/>
  <c r="N65" i="3"/>
  <c r="O65" i="3" s="1"/>
  <c r="N66" i="3"/>
  <c r="O66" i="3" s="1"/>
  <c r="N67" i="3"/>
  <c r="O67" i="3" s="1"/>
  <c r="N68" i="3"/>
  <c r="O68" i="3" s="1"/>
  <c r="N69" i="3"/>
  <c r="O69" i="3" s="1"/>
  <c r="N70" i="3"/>
  <c r="O70" i="3" s="1"/>
  <c r="N71" i="3"/>
  <c r="O71" i="3" s="1"/>
  <c r="N72" i="3"/>
  <c r="O72" i="3" s="1"/>
  <c r="N73" i="3"/>
  <c r="O73" i="3" s="1"/>
  <c r="N74" i="3"/>
  <c r="O74" i="3" s="1"/>
  <c r="N75" i="3"/>
  <c r="O75" i="3" s="1"/>
  <c r="N77" i="3"/>
  <c r="O77" i="3" s="1"/>
  <c r="B55" i="3"/>
  <c r="C55" i="3"/>
  <c r="D55" i="3"/>
  <c r="I55" i="3"/>
  <c r="L55" i="3"/>
  <c r="M55" i="3"/>
  <c r="P55" i="3" s="1"/>
  <c r="N55" i="3"/>
  <c r="O55" i="3" s="1"/>
  <c r="H9" i="1" l="1"/>
  <c r="K55" i="3" s="1"/>
  <c r="J55" i="3" s="1"/>
  <c r="B54" i="3"/>
  <c r="C54" i="3"/>
  <c r="D54" i="3"/>
  <c r="I54" i="3"/>
  <c r="L54" i="3"/>
  <c r="M54" i="3"/>
  <c r="P54" i="3" s="1"/>
  <c r="N54" i="3"/>
  <c r="O54" i="3" s="1"/>
  <c r="K54" i="3" l="1"/>
  <c r="J54" i="3" s="1"/>
  <c r="B48" i="3"/>
  <c r="C48" i="3"/>
  <c r="D48" i="3"/>
  <c r="I48" i="3"/>
  <c r="L48" i="3"/>
  <c r="M48" i="3"/>
  <c r="P48" i="3" s="1"/>
  <c r="N48" i="3"/>
  <c r="O48" i="3" s="1"/>
  <c r="B49" i="3"/>
  <c r="C49" i="3"/>
  <c r="D49" i="3"/>
  <c r="I49" i="3"/>
  <c r="L49" i="3"/>
  <c r="M49" i="3"/>
  <c r="P49" i="3" s="1"/>
  <c r="N49" i="3"/>
  <c r="O49" i="3" s="1"/>
  <c r="I44" i="3"/>
  <c r="B44" i="3"/>
  <c r="B45" i="3"/>
  <c r="B46" i="3"/>
  <c r="C44" i="3"/>
  <c r="C45" i="3"/>
  <c r="C46" i="3"/>
  <c r="D44" i="3"/>
  <c r="D45" i="3"/>
  <c r="D46" i="3"/>
  <c r="I45" i="3"/>
  <c r="I46" i="3"/>
  <c r="L44" i="3"/>
  <c r="L45" i="3"/>
  <c r="L46" i="3"/>
  <c r="M44" i="3"/>
  <c r="P44" i="3" s="1"/>
  <c r="M45" i="3"/>
  <c r="P45" i="3" s="1"/>
  <c r="M46" i="3"/>
  <c r="P46" i="3" s="1"/>
  <c r="N44" i="3"/>
  <c r="O44" i="3" s="1"/>
  <c r="N45" i="3"/>
  <c r="O45" i="3" s="1"/>
  <c r="N46" i="3"/>
  <c r="O46" i="3" s="1"/>
  <c r="I38" i="3" l="1"/>
  <c r="I34" i="3"/>
  <c r="I33" i="3"/>
  <c r="I31" i="3"/>
  <c r="I30" i="3"/>
  <c r="I29" i="3"/>
  <c r="I28" i="3"/>
  <c r="I27" i="3"/>
  <c r="I26" i="3"/>
  <c r="B35" i="3"/>
  <c r="B36" i="3"/>
  <c r="B37" i="3"/>
  <c r="C35" i="3"/>
  <c r="C36" i="3"/>
  <c r="C37" i="3"/>
  <c r="D35" i="3"/>
  <c r="D36" i="3"/>
  <c r="D37" i="3"/>
  <c r="I35" i="3"/>
  <c r="I36" i="3"/>
  <c r="I37" i="3"/>
  <c r="L35" i="3"/>
  <c r="L36" i="3"/>
  <c r="L37" i="3"/>
  <c r="M35" i="3"/>
  <c r="P35" i="3" s="1"/>
  <c r="M36" i="3"/>
  <c r="P36" i="3" s="1"/>
  <c r="M37" i="3"/>
  <c r="P37" i="3" s="1"/>
  <c r="N35" i="3"/>
  <c r="O35" i="3" s="1"/>
  <c r="N36" i="3"/>
  <c r="O36" i="3" s="1"/>
  <c r="N37" i="3"/>
  <c r="O37" i="3" s="1"/>
  <c r="B26" i="3"/>
  <c r="B27" i="3"/>
  <c r="B28" i="3"/>
  <c r="B29" i="3"/>
  <c r="B30" i="3"/>
  <c r="B31" i="3"/>
  <c r="B32" i="3"/>
  <c r="C26" i="3"/>
  <c r="C27" i="3"/>
  <c r="C28" i="3"/>
  <c r="C29" i="3"/>
  <c r="C30" i="3"/>
  <c r="C31" i="3"/>
  <c r="C32" i="3"/>
  <c r="D26" i="3"/>
  <c r="D27" i="3"/>
  <c r="D28" i="3"/>
  <c r="D29" i="3"/>
  <c r="D30" i="3"/>
  <c r="D31" i="3"/>
  <c r="D32" i="3"/>
  <c r="I32" i="3"/>
  <c r="L26" i="3"/>
  <c r="L27" i="3"/>
  <c r="L28" i="3"/>
  <c r="L29" i="3"/>
  <c r="L30" i="3"/>
  <c r="L31" i="3"/>
  <c r="L32" i="3"/>
  <c r="M26" i="3"/>
  <c r="P26" i="3" s="1"/>
  <c r="M27" i="3"/>
  <c r="P27" i="3" s="1"/>
  <c r="M28" i="3"/>
  <c r="P28" i="3" s="1"/>
  <c r="M29" i="3"/>
  <c r="P29" i="3" s="1"/>
  <c r="M30" i="3"/>
  <c r="P30" i="3" s="1"/>
  <c r="M31" i="3"/>
  <c r="P31" i="3" s="1"/>
  <c r="M32" i="3"/>
  <c r="P32" i="3" s="1"/>
  <c r="N26" i="3"/>
  <c r="O26" i="3" s="1"/>
  <c r="N27" i="3"/>
  <c r="O27" i="3" s="1"/>
  <c r="N28" i="3"/>
  <c r="O28" i="3" s="1"/>
  <c r="N29" i="3"/>
  <c r="O29" i="3" s="1"/>
  <c r="N30" i="3"/>
  <c r="O30" i="3" s="1"/>
  <c r="N31" i="3"/>
  <c r="O31" i="3" s="1"/>
  <c r="N32" i="3"/>
  <c r="O32" i="3" s="1"/>
  <c r="B25" i="3"/>
  <c r="B33" i="3"/>
  <c r="B34" i="3"/>
  <c r="B38" i="3"/>
  <c r="B39" i="3"/>
  <c r="B40" i="3"/>
  <c r="B41" i="3"/>
  <c r="B42" i="3"/>
  <c r="C25" i="3"/>
  <c r="C33" i="3"/>
  <c r="C34" i="3"/>
  <c r="C38" i="3"/>
  <c r="C39" i="3"/>
  <c r="C40" i="3"/>
  <c r="C41" i="3"/>
  <c r="C42" i="3"/>
  <c r="D25" i="3"/>
  <c r="D33" i="3"/>
  <c r="D34" i="3"/>
  <c r="D38" i="3"/>
  <c r="D39" i="3"/>
  <c r="D40" i="3"/>
  <c r="D41" i="3"/>
  <c r="D42" i="3"/>
  <c r="I25" i="3"/>
  <c r="I39" i="3"/>
  <c r="I40" i="3"/>
  <c r="I41" i="3"/>
  <c r="I42" i="3"/>
  <c r="L25" i="3"/>
  <c r="L33" i="3"/>
  <c r="L34" i="3"/>
  <c r="L38" i="3"/>
  <c r="L39" i="3"/>
  <c r="L40" i="3"/>
  <c r="L41" i="3"/>
  <c r="L42" i="3"/>
  <c r="M25" i="3"/>
  <c r="P25" i="3" s="1"/>
  <c r="M33" i="3"/>
  <c r="P33" i="3" s="1"/>
  <c r="M34" i="3"/>
  <c r="P34" i="3" s="1"/>
  <c r="M38" i="3"/>
  <c r="P38" i="3" s="1"/>
  <c r="M39" i="3"/>
  <c r="P39" i="3" s="1"/>
  <c r="M40" i="3"/>
  <c r="P40" i="3" s="1"/>
  <c r="M41" i="3"/>
  <c r="P41" i="3" s="1"/>
  <c r="M42" i="3"/>
  <c r="P42" i="3" s="1"/>
  <c r="N25" i="3"/>
  <c r="O25" i="3" s="1"/>
  <c r="N33" i="3"/>
  <c r="O33" i="3" s="1"/>
  <c r="O34" i="3"/>
  <c r="N38" i="3"/>
  <c r="O38" i="3" s="1"/>
  <c r="N39" i="3"/>
  <c r="O39" i="3" s="1"/>
  <c r="N40" i="3"/>
  <c r="O40" i="3" s="1"/>
  <c r="N41" i="3"/>
  <c r="O41" i="3" s="1"/>
  <c r="N42" i="3"/>
  <c r="O42" i="3" s="1"/>
  <c r="H13" i="1" l="1"/>
  <c r="H12" i="1"/>
  <c r="H14" i="1"/>
  <c r="H15" i="1"/>
  <c r="H11" i="1"/>
  <c r="B80" i="3"/>
  <c r="C80" i="3"/>
  <c r="D80" i="3"/>
  <c r="I80" i="3"/>
  <c r="L80" i="3"/>
  <c r="M80" i="3"/>
  <c r="P80" i="3" s="1"/>
  <c r="N80" i="3"/>
  <c r="O80" i="3" s="1"/>
  <c r="K57" i="3" l="1"/>
  <c r="J57" i="3" s="1"/>
  <c r="K59" i="3"/>
  <c r="J59" i="3" s="1"/>
  <c r="K68" i="3"/>
  <c r="J68" i="3" s="1"/>
  <c r="K61" i="3"/>
  <c r="J61" i="3" s="1"/>
  <c r="K70" i="3"/>
  <c r="J70" i="3" s="1"/>
  <c r="K73" i="3"/>
  <c r="J73" i="3" s="1"/>
  <c r="K64" i="3"/>
  <c r="J64" i="3" s="1"/>
  <c r="K66" i="3"/>
  <c r="J66" i="3" s="1"/>
  <c r="K58" i="3"/>
  <c r="J58" i="3" s="1"/>
  <c r="K74" i="3"/>
  <c r="J74" i="3" s="1"/>
  <c r="K60" i="3"/>
  <c r="J60" i="3" s="1"/>
  <c r="K69" i="3"/>
  <c r="J69" i="3" s="1"/>
  <c r="K71" i="3"/>
  <c r="J71" i="3" s="1"/>
  <c r="K67" i="3"/>
  <c r="J67" i="3" s="1"/>
  <c r="K62" i="3"/>
  <c r="J62" i="3" s="1"/>
  <c r="K65" i="3"/>
  <c r="J65" i="3" s="1"/>
  <c r="K72" i="3"/>
  <c r="J72" i="3" s="1"/>
  <c r="K75" i="3"/>
  <c r="J75" i="3" s="1"/>
  <c r="K76" i="3"/>
  <c r="J76" i="3" s="1"/>
  <c r="K78" i="3"/>
  <c r="J78" i="3" s="1"/>
  <c r="K63" i="3"/>
  <c r="J63" i="3" s="1"/>
  <c r="H7" i="1"/>
  <c r="B79" i="3"/>
  <c r="C79" i="3"/>
  <c r="D79" i="3"/>
  <c r="I79" i="3"/>
  <c r="L79" i="3"/>
  <c r="M79" i="3"/>
  <c r="P79" i="3" s="1"/>
  <c r="N79" i="3"/>
  <c r="O79" i="3" s="1"/>
  <c r="B56" i="3"/>
  <c r="C56" i="3"/>
  <c r="D56" i="3"/>
  <c r="L56" i="3"/>
  <c r="M56" i="3"/>
  <c r="P56" i="3" s="1"/>
  <c r="N56" i="3"/>
  <c r="O56" i="3" s="1"/>
  <c r="I2" i="3" l="1"/>
  <c r="B53" i="3"/>
  <c r="C53" i="3"/>
  <c r="D53" i="3"/>
  <c r="I53" i="3"/>
  <c r="L53" i="3"/>
  <c r="M53" i="3"/>
  <c r="P53" i="3" s="1"/>
  <c r="N53" i="3"/>
  <c r="O53" i="3" s="1"/>
  <c r="B52" i="3"/>
  <c r="C52" i="3"/>
  <c r="D52" i="3"/>
  <c r="I52" i="3"/>
  <c r="K52" i="3"/>
  <c r="J52" i="3" s="1"/>
  <c r="L52" i="3"/>
  <c r="M52" i="3"/>
  <c r="P52" i="3" s="1"/>
  <c r="N52" i="3"/>
  <c r="O52" i="3" s="1"/>
  <c r="B51" i="3"/>
  <c r="C51" i="3"/>
  <c r="D51" i="3"/>
  <c r="I51" i="3"/>
  <c r="L51" i="3"/>
  <c r="M51" i="3"/>
  <c r="P51" i="3" s="1"/>
  <c r="N51" i="3"/>
  <c r="O51" i="3" s="1"/>
  <c r="H8" i="1"/>
  <c r="K50" i="3" s="1"/>
  <c r="J50" i="3" s="1"/>
  <c r="B50" i="3"/>
  <c r="C50" i="3"/>
  <c r="D50" i="3"/>
  <c r="I50" i="3"/>
  <c r="L50" i="3"/>
  <c r="M50" i="3"/>
  <c r="P50" i="3" s="1"/>
  <c r="N50" i="3"/>
  <c r="O50" i="3" s="1"/>
  <c r="B47" i="3"/>
  <c r="C47" i="3"/>
  <c r="D47" i="3"/>
  <c r="I47" i="3"/>
  <c r="L47" i="3"/>
  <c r="M47" i="3"/>
  <c r="P47" i="3" s="1"/>
  <c r="N47" i="3"/>
  <c r="O47" i="3" s="1"/>
  <c r="H6" i="1"/>
  <c r="H5" i="1"/>
  <c r="B43" i="3"/>
  <c r="C43" i="3"/>
  <c r="D43" i="3"/>
  <c r="I43" i="3"/>
  <c r="L43" i="3"/>
  <c r="M43" i="3"/>
  <c r="P43" i="3" s="1"/>
  <c r="N43" i="3"/>
  <c r="O43" i="3" s="1"/>
  <c r="H10" i="1"/>
  <c r="K77" i="3" s="1"/>
  <c r="J77" i="3" s="1"/>
  <c r="H4" i="1"/>
  <c r="B24" i="3"/>
  <c r="C24" i="3"/>
  <c r="D24" i="3"/>
  <c r="I24" i="3"/>
  <c r="L24" i="3"/>
  <c r="M24" i="3"/>
  <c r="P24" i="3" s="1"/>
  <c r="N24" i="3"/>
  <c r="O24" i="3" s="1"/>
  <c r="B23" i="3"/>
  <c r="C23" i="3"/>
  <c r="D23" i="3"/>
  <c r="I23" i="3"/>
  <c r="L23" i="3"/>
  <c r="M23" i="3"/>
  <c r="P23" i="3" s="1"/>
  <c r="N23" i="3"/>
  <c r="O23" i="3" s="1"/>
  <c r="B22" i="3"/>
  <c r="C22" i="3"/>
  <c r="D22" i="3"/>
  <c r="I22" i="3"/>
  <c r="L22" i="3"/>
  <c r="M22" i="3"/>
  <c r="P22" i="3" s="1"/>
  <c r="N22" i="3"/>
  <c r="O22" i="3" s="1"/>
  <c r="B21" i="3"/>
  <c r="C21" i="3"/>
  <c r="D21" i="3"/>
  <c r="I21" i="3"/>
  <c r="L21" i="3"/>
  <c r="M21" i="3"/>
  <c r="P21" i="3" s="1"/>
  <c r="N21" i="3"/>
  <c r="O21" i="3" s="1"/>
  <c r="B20" i="3"/>
  <c r="C20" i="3"/>
  <c r="D20" i="3"/>
  <c r="I20" i="3"/>
  <c r="L20" i="3"/>
  <c r="M20" i="3"/>
  <c r="P20" i="3" s="1"/>
  <c r="N20" i="3"/>
  <c r="O20" i="3" s="1"/>
  <c r="B19" i="3"/>
  <c r="C19" i="3"/>
  <c r="D19" i="3"/>
  <c r="I19" i="3"/>
  <c r="L19" i="3"/>
  <c r="M19" i="3"/>
  <c r="P19" i="3" s="1"/>
  <c r="N19" i="3"/>
  <c r="O19" i="3" s="1"/>
  <c r="B18" i="3"/>
  <c r="C18" i="3"/>
  <c r="D18" i="3"/>
  <c r="I18" i="3"/>
  <c r="L18" i="3"/>
  <c r="M18" i="3"/>
  <c r="P18" i="3" s="1"/>
  <c r="N18" i="3"/>
  <c r="O18" i="3" s="1"/>
  <c r="B17" i="3"/>
  <c r="C17" i="3"/>
  <c r="D17" i="3"/>
  <c r="I17" i="3"/>
  <c r="L17" i="3"/>
  <c r="M17" i="3"/>
  <c r="P17" i="3" s="1"/>
  <c r="N17" i="3"/>
  <c r="O17" i="3" s="1"/>
  <c r="B16" i="3"/>
  <c r="C16" i="3"/>
  <c r="D16" i="3"/>
  <c r="I16" i="3"/>
  <c r="L16" i="3"/>
  <c r="M16" i="3"/>
  <c r="P16" i="3" s="1"/>
  <c r="N16" i="3"/>
  <c r="O16" i="3" s="1"/>
  <c r="B15" i="3"/>
  <c r="C15" i="3"/>
  <c r="D15" i="3"/>
  <c r="I15" i="3"/>
  <c r="L15" i="3"/>
  <c r="M15" i="3"/>
  <c r="P15" i="3" s="1"/>
  <c r="N15" i="3"/>
  <c r="O15" i="3" s="1"/>
  <c r="B14" i="3"/>
  <c r="C14" i="3"/>
  <c r="D14" i="3"/>
  <c r="I14" i="3"/>
  <c r="L14" i="3"/>
  <c r="M14" i="3"/>
  <c r="P14" i="3" s="1"/>
  <c r="N14" i="3"/>
  <c r="O14" i="3" s="1"/>
  <c r="B13" i="3"/>
  <c r="C13" i="3"/>
  <c r="D13" i="3"/>
  <c r="I13" i="3"/>
  <c r="L13" i="3"/>
  <c r="M13" i="3"/>
  <c r="P13" i="3" s="1"/>
  <c r="N13" i="3"/>
  <c r="O13" i="3" s="1"/>
  <c r="B12" i="3"/>
  <c r="C12" i="3"/>
  <c r="D12" i="3"/>
  <c r="I12" i="3"/>
  <c r="L12" i="3"/>
  <c r="M12" i="3"/>
  <c r="P12" i="3" s="1"/>
  <c r="N12" i="3"/>
  <c r="O12" i="3" s="1"/>
  <c r="B11" i="3"/>
  <c r="C11" i="3"/>
  <c r="D11" i="3"/>
  <c r="I11" i="3"/>
  <c r="L11" i="3"/>
  <c r="M11" i="3"/>
  <c r="P11" i="3" s="1"/>
  <c r="N11" i="3"/>
  <c r="O11" i="3" s="1"/>
  <c r="B10" i="3"/>
  <c r="C10" i="3"/>
  <c r="D10" i="3"/>
  <c r="I10" i="3"/>
  <c r="L10" i="3"/>
  <c r="M10" i="3"/>
  <c r="P10" i="3" s="1"/>
  <c r="N10" i="3"/>
  <c r="O10" i="3" s="1"/>
  <c r="B9" i="3"/>
  <c r="C9" i="3"/>
  <c r="D9" i="3"/>
  <c r="I9" i="3"/>
  <c r="L9" i="3"/>
  <c r="M9" i="3"/>
  <c r="P9" i="3" s="1"/>
  <c r="N9" i="3"/>
  <c r="O9" i="3" s="1"/>
  <c r="B8" i="3"/>
  <c r="C8" i="3"/>
  <c r="D8" i="3"/>
  <c r="I8" i="3"/>
  <c r="L8" i="3"/>
  <c r="M8" i="3"/>
  <c r="P8" i="3" s="1"/>
  <c r="N8" i="3"/>
  <c r="O8" i="3" s="1"/>
  <c r="B7" i="3"/>
  <c r="C7" i="3"/>
  <c r="D7" i="3"/>
  <c r="I7" i="3"/>
  <c r="L7" i="3"/>
  <c r="M7" i="3"/>
  <c r="P7" i="3" s="1"/>
  <c r="N7" i="3"/>
  <c r="O7" i="3" s="1"/>
  <c r="B6" i="3"/>
  <c r="C6" i="3"/>
  <c r="D6" i="3"/>
  <c r="I6" i="3"/>
  <c r="L6" i="3"/>
  <c r="M6" i="3"/>
  <c r="P6" i="3" s="1"/>
  <c r="N6" i="3"/>
  <c r="O6" i="3" s="1"/>
  <c r="B5" i="3"/>
  <c r="C5" i="3"/>
  <c r="D5" i="3"/>
  <c r="I5" i="3"/>
  <c r="L5" i="3"/>
  <c r="M5" i="3"/>
  <c r="P5" i="3" s="1"/>
  <c r="N5" i="3"/>
  <c r="O5" i="3" s="1"/>
  <c r="B4" i="3"/>
  <c r="C4" i="3"/>
  <c r="D4" i="3"/>
  <c r="I4" i="3"/>
  <c r="L4" i="3"/>
  <c r="M4" i="3"/>
  <c r="P4" i="3" s="1"/>
  <c r="N4" i="3"/>
  <c r="O4" i="3" s="1"/>
  <c r="B3" i="3"/>
  <c r="C3" i="3"/>
  <c r="D3" i="3"/>
  <c r="I3" i="3"/>
  <c r="L3" i="3"/>
  <c r="M3" i="3"/>
  <c r="P3" i="3" s="1"/>
  <c r="N3" i="3"/>
  <c r="O3" i="3" s="1"/>
  <c r="M2" i="3"/>
  <c r="P2" i="3" s="1"/>
  <c r="L2" i="3"/>
  <c r="N2" i="3"/>
  <c r="O2" i="3" s="1"/>
  <c r="D2" i="3"/>
  <c r="C2" i="3"/>
  <c r="B2" i="3"/>
  <c r="K48" i="3" l="1"/>
  <c r="J48" i="3" s="1"/>
  <c r="K49" i="3"/>
  <c r="J49" i="3" s="1"/>
  <c r="K45" i="3"/>
  <c r="J45" i="3" s="1"/>
  <c r="K46" i="3"/>
  <c r="J46" i="3" s="1"/>
  <c r="K44" i="3"/>
  <c r="J44" i="3" s="1"/>
  <c r="K29" i="3"/>
  <c r="J29" i="3" s="1"/>
  <c r="K35" i="3"/>
  <c r="J35" i="3" s="1"/>
  <c r="K34" i="3"/>
  <c r="J34" i="3" s="1"/>
  <c r="K41" i="3"/>
  <c r="J41" i="3" s="1"/>
  <c r="K30" i="3"/>
  <c r="J30" i="3" s="1"/>
  <c r="K31" i="3"/>
  <c r="J31" i="3" s="1"/>
  <c r="K38" i="3"/>
  <c r="J38" i="3" s="1"/>
  <c r="K40" i="3"/>
  <c r="J40" i="3" s="1"/>
  <c r="K26" i="3"/>
  <c r="J26" i="3" s="1"/>
  <c r="K27" i="3"/>
  <c r="J27" i="3" s="1"/>
  <c r="K28" i="3"/>
  <c r="J28" i="3" s="1"/>
  <c r="K32" i="3"/>
  <c r="J32" i="3" s="1"/>
  <c r="K25" i="3"/>
  <c r="J25" i="3" s="1"/>
  <c r="K33" i="3"/>
  <c r="J33" i="3" s="1"/>
  <c r="K36" i="3"/>
  <c r="J36" i="3" s="1"/>
  <c r="K37" i="3"/>
  <c r="J37" i="3" s="1"/>
  <c r="K39" i="3"/>
  <c r="J39" i="3" s="1"/>
  <c r="K42" i="3"/>
  <c r="J42" i="3" s="1"/>
  <c r="K51" i="3"/>
  <c r="J51" i="3" s="1"/>
  <c r="K43" i="3"/>
  <c r="J43" i="3" s="1"/>
  <c r="K56" i="3"/>
  <c r="J56" i="3" s="1"/>
  <c r="K47" i="3"/>
  <c r="J47" i="3" s="1"/>
  <c r="K53" i="3"/>
  <c r="J53" i="3" s="1"/>
  <c r="K24" i="3"/>
  <c r="J24" i="3" s="1"/>
  <c r="H16" i="1"/>
  <c r="H2" i="1"/>
  <c r="H3" i="1"/>
  <c r="K16" i="3" l="1"/>
  <c r="J16" i="3" s="1"/>
  <c r="K17" i="3"/>
  <c r="J17" i="3" s="1"/>
  <c r="K80" i="3"/>
  <c r="J80" i="3" s="1"/>
  <c r="K79" i="3"/>
  <c r="J79" i="3" s="1"/>
  <c r="K23" i="3"/>
  <c r="J23" i="3" s="1"/>
  <c r="K22" i="3"/>
  <c r="J22" i="3" s="1"/>
  <c r="K20" i="3"/>
  <c r="J20" i="3" s="1"/>
  <c r="K21" i="3"/>
  <c r="J21" i="3" s="1"/>
  <c r="K18" i="3"/>
  <c r="J18" i="3" s="1"/>
  <c r="K19" i="3"/>
  <c r="J19" i="3" s="1"/>
  <c r="K10" i="3"/>
  <c r="J10" i="3" s="1"/>
  <c r="K8" i="3"/>
  <c r="J8" i="3" s="1"/>
  <c r="K12" i="3"/>
  <c r="J12" i="3" s="1"/>
  <c r="K13" i="3"/>
  <c r="J13" i="3" s="1"/>
  <c r="K7" i="3"/>
  <c r="J7" i="3" s="1"/>
  <c r="K11" i="3"/>
  <c r="J11" i="3" s="1"/>
  <c r="K5" i="3"/>
  <c r="J5" i="3" s="1"/>
  <c r="K6" i="3"/>
  <c r="J6" i="3" s="1"/>
  <c r="K2" i="3"/>
  <c r="J2" i="3" s="1"/>
  <c r="K4" i="3"/>
  <c r="J4" i="3" s="1"/>
  <c r="K9" i="3"/>
  <c r="J9" i="3" s="1"/>
  <c r="K3" i="3"/>
  <c r="J3" i="3" s="1"/>
  <c r="K15" i="3"/>
  <c r="J15" i="3" s="1"/>
  <c r="K14" i="3"/>
  <c r="J1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tc={734D34D1-A3B4-419C-91E5-2415CC7E1FF7}</author>
  </authors>
  <commentList>
    <comment ref="E1" authorId="0" shapeId="0" xr:uid="{734D34D1-A3B4-419C-91E5-2415CC7E1FF7}">
      <text>
        <t>[Threaded comment]
Your version of Excel allows you to read this threaded comment; however, any edits to it will get removed if the file is opened in a newer version of Excel. Learn more: https://go.microsoft.com/fwlink/?linkid=870924
Comment:
    载体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tc={E68F4AA3-3D0A-4E51-9DB5-71D163687642}</author>
    <author>tc={60652D12-341E-458F-9404-85AE92F8BD45}</author>
    <author>tc={5D615C4E-EBE7-4C5B-AFF7-7BFD865942AD}</author>
    <author>tc={AF69EBA6-49A2-4E66-B2B5-ADDCB203CBBC}</author>
    <author>tc={1AB846D4-C243-49DD-BFCE-0F152034E39C}</author>
    <author>tc={89049742-F5D2-410B-B198-12AF77C32560}</author>
    <author>tc={8D1C1E60-2EA0-4CC8-8F9F-A8A7E37ADBA1}</author>
  </authors>
  <commentList>
    <comment ref="K2" authorId="0" shapeId="0" xr:uid="{E68F4AA3-3D0A-4E51-9DB5-71D1636876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Operating经营性经常事件 </t>
      </text>
    </comment>
    <comment ref="F4" authorId="1" shapeId="0" xr:uid="{60652D12-341E-458F-9404-85AE92F8BD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Receivables and Payables 应付 应收</t>
      </text>
    </comment>
    <comment ref="J5" authorId="2" shapeId="0" xr:uid="{5D615C4E-EBE7-4C5B-AFF7-7BFD865942AD}">
      <text>
        <t>[Threaded comment]
Your version of Excel allows you to read this threaded comment; however, any edits to it will get removed if the file is opened in a newer version of Excel. Learn more: https://go.microsoft.com/fwlink/?linkid=870924
Comment:
    资产处置损益</t>
      </text>
    </comment>
    <comment ref="F6" authorId="3" shapeId="0" xr:uid="{AF69EBA6-49A2-4E66-B2B5-ADDCB203CBBC}">
      <text>
        <t>[Threaded comment]
Your version of Excel allows you to read this threaded comment; however, any edits to it will get removed if the file is opened in a newer version of Excel. Learn more: https://go.microsoft.com/fwlink/?linkid=870924
Comment:
    Inventories</t>
      </text>
    </comment>
    <comment ref="J6" authorId="4" shapeId="0" xr:uid="{1AB846D4-C243-49DD-BFCE-0F152034E39C}">
      <text>
        <t>[Threaded comment]
Your version of Excel allows you to read this threaded comment; however, any edits to it will get removed if the file is opened in a newer version of Excel. Learn more: https://go.microsoft.com/fwlink/?linkid=870924
Comment:
    自主活动损益 （类似 诗与歌 这样的活动）</t>
      </text>
    </comment>
    <comment ref="F14" authorId="5" shapeId="0" xr:uid="{89049742-F5D2-410B-B198-12AF77C325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Reserve 准备金</t>
      </text>
    </comment>
    <comment ref="E15" authorId="6" shapeId="0" xr:uid="{8D1C1E60-2EA0-4CC8-8F9F-A8A7E37ADBA1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Paid-In Capital 
Reply:
    差不多是 资本公积</t>
      </text>
    </comment>
  </commentList>
</comments>
</file>

<file path=xl/sharedStrings.xml><?xml version="1.0" encoding="utf-8"?>
<sst xmlns="http://schemas.openxmlformats.org/spreadsheetml/2006/main" count="649" uniqueCount="224">
  <si>
    <t>Const</t>
  </si>
  <si>
    <t>default str</t>
  </si>
  <si>
    <t>*缺省</t>
  </si>
  <si>
    <t>…</t>
  </si>
  <si>
    <t>Func. CCY</t>
  </si>
  <si>
    <t>CNY</t>
  </si>
  <si>
    <t>*功能货币</t>
  </si>
  <si>
    <t>inception</t>
  </si>
  <si>
    <t>*起始日期</t>
  </si>
  <si>
    <t>Acct</t>
  </si>
  <si>
    <t>Lv2</t>
  </si>
  <si>
    <t>Lv1</t>
  </si>
  <si>
    <t>Lv0</t>
  </si>
  <si>
    <t>Bank</t>
  </si>
  <si>
    <t>Cash</t>
  </si>
  <si>
    <t>Assets</t>
  </si>
  <si>
    <t>Phys.C</t>
  </si>
  <si>
    <t>Cap</t>
  </si>
  <si>
    <t>Common</t>
  </si>
  <si>
    <t>Equity</t>
  </si>
  <si>
    <t>RE</t>
  </si>
  <si>
    <t>Rsv</t>
  </si>
  <si>
    <t>Node</t>
  </si>
  <si>
    <t>Type</t>
  </si>
  <si>
    <t>Revenue</t>
  </si>
  <si>
    <t>Cost</t>
  </si>
  <si>
    <t>Expense</t>
  </si>
  <si>
    <t>Other</t>
  </si>
  <si>
    <t>Op</t>
  </si>
  <si>
    <t>Non-Op</t>
  </si>
  <si>
    <t>Id</t>
  </si>
  <si>
    <t>Taobao</t>
  </si>
  <si>
    <t>主淘宝店</t>
  </si>
  <si>
    <t>Shuijie</t>
  </si>
  <si>
    <t>MY</t>
  </si>
  <si>
    <t>明月村</t>
  </si>
  <si>
    <t>Note</t>
  </si>
  <si>
    <t>Brand</t>
  </si>
  <si>
    <t>品牌</t>
  </si>
  <si>
    <t>GM</t>
  </si>
  <si>
    <t>综合管理</t>
  </si>
  <si>
    <t>Ctrl</t>
  </si>
  <si>
    <t>内控、合规</t>
  </si>
  <si>
    <t>Date</t>
  </si>
  <si>
    <t>Division</t>
  </si>
  <si>
    <t>Action</t>
  </si>
  <si>
    <t>IncNode</t>
  </si>
  <si>
    <t>forward</t>
  </si>
  <si>
    <t>TrxId</t>
  </si>
  <si>
    <t>TrxDate</t>
  </si>
  <si>
    <t>Item</t>
  </si>
  <si>
    <t>Bal</t>
  </si>
  <si>
    <t>NetBal</t>
  </si>
  <si>
    <t>IsValid</t>
  </si>
  <si>
    <t>BSLv0</t>
  </si>
  <si>
    <t>BSLv1</t>
  </si>
  <si>
    <t>BSLv2</t>
  </si>
  <si>
    <t>IncType</t>
  </si>
  <si>
    <t>JH.0682</t>
  </si>
  <si>
    <t>Name</t>
  </si>
  <si>
    <t>代持</t>
  </si>
  <si>
    <t>远家花园</t>
  </si>
  <si>
    <t>淘宝</t>
  </si>
  <si>
    <t>远家花园高新分公司</t>
  </si>
  <si>
    <t>水街活动</t>
  </si>
  <si>
    <t>喜家文化</t>
  </si>
  <si>
    <t>水街服装</t>
  </si>
  <si>
    <t>米小易</t>
  </si>
  <si>
    <t>水街餐饮</t>
  </si>
  <si>
    <t>远家文化</t>
  </si>
  <si>
    <t>明月村客房餐饮</t>
  </si>
  <si>
    <t>远家文化蒲江分公司</t>
  </si>
  <si>
    <t>明月村小程序</t>
  </si>
  <si>
    <t>榆乐</t>
  </si>
  <si>
    <t>已收购，为远家花园提供成本发票</t>
  </si>
  <si>
    <t>染匠文化</t>
  </si>
  <si>
    <t>驻色染色</t>
  </si>
  <si>
    <t>桑木</t>
  </si>
  <si>
    <t>合作实体收款；为远家花园提供成本发票</t>
  </si>
  <si>
    <t>张小喜</t>
  </si>
  <si>
    <t>明月村服装</t>
  </si>
  <si>
    <t>小月号</t>
  </si>
  <si>
    <t>明月村杂项</t>
  </si>
  <si>
    <t>创业园杂项</t>
  </si>
  <si>
    <t>郑术燕</t>
  </si>
  <si>
    <t>明月村采购</t>
  </si>
  <si>
    <t>法人</t>
  </si>
  <si>
    <t>分支机构</t>
  </si>
  <si>
    <t>HuaYuan</t>
  </si>
  <si>
    <t>XiJia</t>
  </si>
  <si>
    <t>MiXiaoYi</t>
  </si>
  <si>
    <t>YuanWH</t>
  </si>
  <si>
    <t>YuLe</t>
  </si>
  <si>
    <t>SangMu</t>
  </si>
  <si>
    <t>XiaoXi</t>
  </si>
  <si>
    <t>XiaoYue</t>
  </si>
  <si>
    <t>ZhengSY</t>
  </si>
  <si>
    <t>JH.7471</t>
  </si>
  <si>
    <t>CD.0214</t>
  </si>
  <si>
    <t>JT.7708</t>
  </si>
  <si>
    <t>JH.2521</t>
  </si>
  <si>
    <t>创业园-琦</t>
  </si>
  <si>
    <t>创业园-晓</t>
  </si>
  <si>
    <t>CYY-Qi</t>
  </si>
  <si>
    <t>CYY-Xiao</t>
  </si>
  <si>
    <t>JH.1465</t>
  </si>
  <si>
    <t>JH.2131</t>
  </si>
  <si>
    <t>Casher.hd</t>
  </si>
  <si>
    <t>Casher.fz</t>
  </si>
  <si>
    <t>JH.4559</t>
  </si>
  <si>
    <t>Casher.cy</t>
  </si>
  <si>
    <t>NH.3284</t>
  </si>
  <si>
    <t>NS.3524</t>
  </si>
  <si>
    <t>JH.2761</t>
  </si>
  <si>
    <t>WeC</t>
  </si>
  <si>
    <t>NH.5074</t>
  </si>
  <si>
    <t>NS.9539</t>
  </si>
  <si>
    <t>huotang</t>
  </si>
  <si>
    <t>HY-GaoX</t>
  </si>
  <si>
    <t>YWH-PuJ</t>
  </si>
  <si>
    <t>JH.0754</t>
  </si>
  <si>
    <t>JH.8952</t>
  </si>
  <si>
    <t>Sum of Bal</t>
  </si>
  <si>
    <t>RanJ</t>
  </si>
  <si>
    <t>Rec-Pay</t>
  </si>
  <si>
    <t>AR</t>
  </si>
  <si>
    <t>AP</t>
  </si>
  <si>
    <t>temp</t>
  </si>
  <si>
    <t>Order</t>
  </si>
  <si>
    <t>Curr</t>
  </si>
  <si>
    <t>A</t>
  </si>
  <si>
    <t>Prep-Sub</t>
  </si>
  <si>
    <t>Invtr</t>
  </si>
  <si>
    <t>PP&amp;E</t>
  </si>
  <si>
    <t>Property</t>
  </si>
  <si>
    <t>Vehicle</t>
    <phoneticPr fontId="5" type="noConversion"/>
  </si>
  <si>
    <t>Liability</t>
  </si>
  <si>
    <t>LC</t>
  </si>
  <si>
    <t>Values</t>
  </si>
  <si>
    <t>Sink</t>
    <phoneticPr fontId="5" type="noConversion"/>
  </si>
  <si>
    <t xml:space="preserve"> </t>
    <phoneticPr fontId="5" type="noConversion"/>
  </si>
  <si>
    <t>accuInc</t>
    <phoneticPr fontId="5" type="noConversion"/>
  </si>
  <si>
    <t>(私账）</t>
    <phoneticPr fontId="5" type="noConversion"/>
  </si>
  <si>
    <t>ToTax</t>
  </si>
  <si>
    <t>ToTax</t>
    <phoneticPr fontId="5" type="noConversion"/>
  </si>
  <si>
    <t>Rec-Pay</t>
    <phoneticPr fontId="5" type="noConversion"/>
  </si>
  <si>
    <t>Prep-Sub</t>
    <phoneticPr fontId="5" type="noConversion"/>
  </si>
  <si>
    <t>ToOther</t>
  </si>
  <si>
    <t>ToOther</t>
    <phoneticPr fontId="5" type="noConversion"/>
  </si>
  <si>
    <t>Op</t>
    <phoneticPr fontId="5" type="noConversion"/>
  </si>
  <si>
    <t>Gain-Loss</t>
    <phoneticPr fontId="5" type="noConversion"/>
  </si>
  <si>
    <t>水街店</t>
    <phoneticPr fontId="5" type="noConversion"/>
  </si>
  <si>
    <t>Casher.myc</t>
  </si>
  <si>
    <t>Casher.myc</t>
    <phoneticPr fontId="5" type="noConversion"/>
  </si>
  <si>
    <t>货款</t>
  </si>
  <si>
    <t>货款</t>
    <phoneticPr fontId="5" type="noConversion"/>
  </si>
  <si>
    <t>个人社保</t>
  </si>
  <si>
    <t>保证金</t>
    <phoneticPr fontId="5" type="noConversion"/>
  </si>
  <si>
    <t>平台</t>
  </si>
  <si>
    <t>保证金</t>
  </si>
  <si>
    <t>员工预支款</t>
  </si>
  <si>
    <t>借款</t>
  </si>
  <si>
    <t>预付费用</t>
    <phoneticPr fontId="5" type="noConversion"/>
  </si>
  <si>
    <t>预付费用</t>
  </si>
  <si>
    <t>预付货款</t>
  </si>
  <si>
    <t>乐于斯</t>
    <phoneticPr fontId="5" type="noConversion"/>
  </si>
  <si>
    <t>低苦艾</t>
    <phoneticPr fontId="5" type="noConversion"/>
  </si>
  <si>
    <t>前期修建借款</t>
    <phoneticPr fontId="5" type="noConversion"/>
  </si>
  <si>
    <t>注册资本</t>
    <phoneticPr fontId="5" type="noConversion"/>
  </si>
  <si>
    <t>税金</t>
    <phoneticPr fontId="5" type="noConversion"/>
  </si>
  <si>
    <t>工资</t>
    <phoneticPr fontId="5" type="noConversion"/>
  </si>
  <si>
    <t>充值</t>
    <phoneticPr fontId="5" type="noConversion"/>
  </si>
  <si>
    <t>预收账款</t>
    <phoneticPr fontId="5" type="noConversion"/>
  </si>
  <si>
    <t>T0000</t>
    <phoneticPr fontId="5" type="noConversion"/>
  </si>
  <si>
    <t>服饰</t>
  </si>
  <si>
    <t>服饰</t>
    <phoneticPr fontId="5" type="noConversion"/>
  </si>
  <si>
    <t>图书</t>
    <phoneticPr fontId="5" type="noConversion"/>
  </si>
  <si>
    <t>低耗</t>
    <phoneticPr fontId="5" type="noConversion"/>
  </si>
  <si>
    <t>Column Labels</t>
  </si>
  <si>
    <t>Row Labels</t>
  </si>
  <si>
    <t>Grand Total</t>
  </si>
  <si>
    <t>APIC</t>
  </si>
  <si>
    <t>Discretion</t>
  </si>
  <si>
    <t>perc</t>
  </si>
  <si>
    <t>Key</t>
  </si>
  <si>
    <t>银行</t>
  </si>
  <si>
    <t>物理现金</t>
  </si>
  <si>
    <t>订单</t>
  </si>
  <si>
    <t>当期存货</t>
  </si>
  <si>
    <t>往期存过</t>
  </si>
  <si>
    <t>Old</t>
  </si>
  <si>
    <t>房地产</t>
  </si>
  <si>
    <t>权益性投资</t>
  </si>
  <si>
    <t>Eq-Inv</t>
  </si>
  <si>
    <t>应付-税款</t>
  </si>
  <si>
    <t>应付-薪资</t>
  </si>
  <si>
    <t>应付-其他</t>
  </si>
  <si>
    <t>可分配利润</t>
  </si>
  <si>
    <t>原始资本</t>
  </si>
  <si>
    <t>额外投入</t>
  </si>
  <si>
    <t>Case</t>
  </si>
  <si>
    <t>BS-Acct</t>
  </si>
  <si>
    <t>BS-Lv2</t>
  </si>
  <si>
    <t>1.应收-应付</t>
  </si>
  <si>
    <t>0.现金</t>
  </si>
  <si>
    <t>2.预付-订阅</t>
  </si>
  <si>
    <t>3.库存占款</t>
  </si>
  <si>
    <t>5.硬件设施</t>
  </si>
  <si>
    <t>6.投资与长期负债</t>
  </si>
  <si>
    <t>9.储备性权益</t>
  </si>
  <si>
    <t>X.资本</t>
  </si>
  <si>
    <t>Invest-LTD</t>
  </si>
  <si>
    <t>NameAcct</t>
  </si>
  <si>
    <t>NameBSLv2</t>
  </si>
  <si>
    <t>低耗</t>
  </si>
  <si>
    <t>图书</t>
  </si>
  <si>
    <t>应收-一般</t>
  </si>
  <si>
    <t>应付-一般</t>
  </si>
  <si>
    <t>明月村-累计折旧</t>
  </si>
  <si>
    <t>水街-建设投资</t>
  </si>
  <si>
    <t>明月村-基础投资</t>
  </si>
  <si>
    <t>水街-累计折旧</t>
  </si>
  <si>
    <t>NameVehicle</t>
  </si>
  <si>
    <t>ToEmp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</si>
</sst>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yy/m/d;@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34"/>
      <scheme val="minor"/>
    </font>
    <font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sz val="11"/>
      <color theme="8"/>
      <name val="Calibri"/>
      <family val="2"/>
      <scheme val="minor"/>
    </font>
    <font>
      <sz val="11"/>
      <color theme="8"/>
      <name val="Calibri"/>
      <family val="3"/>
      <charset val="134"/>
      <scheme val="minor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C99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2" fillId="0" borderId="0" applyNumberFormat="0" applyFill="0" applyBorder="0" applyAlignment="0" applyProtection="0"/>
    <xf numFmtId="0" fontId="1" fillId="3" borderId="0" applyNumberFormat="0" applyBorder="0" applyAlignment="0" applyProtection="0"/>
    <xf numFmtId="0" fontId="4" fillId="4" borderId="2" applyNumberFormat="0" applyAlignment="0" applyProtection="0"/>
  </cellStyleXfs>
  <cellXfs count="36">
    <xf numFmtId="0" fontId="0" fillId="0" borderId="0" xfId="0"/>
    <xf numFmtId="0" fontId="3" fillId="3" borderId="0" xfId="3" applyFont="1"/>
    <xf numFmtId="0" fontId="2" fillId="0" borderId="0" xfId="2"/>
    <xf numFmtId="0" fontId="2" fillId="2" borderId="1" xfId="1" applyFont="1"/>
    <xf numFmtId="0" fontId="0" fillId="2" borderId="1" xfId="1" applyFont="1"/>
    <xf numFmtId="0" fontId="0" fillId="0" borderId="0" xfId="0" applyAlignment="1">
      <alignment horizontal="center"/>
    </xf>
    <xf numFmtId="164" fontId="0" fillId="0" borderId="0" xfId="0" applyNumberFormat="1"/>
    <xf numFmtId="164" fontId="0" fillId="2" borderId="1" xfId="1" applyNumberFormat="1" applyFont="1"/>
    <xf numFmtId="40" fontId="0" fillId="0" borderId="0" xfId="0" applyNumberFormat="1"/>
    <xf numFmtId="38" fontId="0" fillId="0" borderId="0" xfId="0" applyNumberFormat="1"/>
    <xf numFmtId="0" fontId="4" fillId="4" borderId="2" xfId="4"/>
    <xf numFmtId="0" fontId="0" fillId="2" borderId="3" xfId="1" applyFont="1" applyBorder="1"/>
    <xf numFmtId="0" fontId="0" fillId="0" borderId="0" xfId="0" pivotButton="1"/>
    <xf numFmtId="0" fontId="0" fillId="0" borderId="0" xfId="0" pivotButton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indent="2"/>
    </xf>
    <xf numFmtId="0" fontId="7" fillId="0" borderId="0" xfId="0" applyFont="1"/>
    <xf numFmtId="0" fontId="9" fillId="0" borderId="0" xfId="0" applyFont="1"/>
    <xf numFmtId="40" fontId="4" fillId="5" borderId="2" xfId="4" applyNumberFormat="1" applyFill="1"/>
    <xf numFmtId="164" fontId="6" fillId="0" borderId="0" xfId="0" applyNumberFormat="1" applyFont="1"/>
    <xf numFmtId="164" fontId="7" fillId="0" borderId="0" xfId="0" applyNumberFormat="1" applyFont="1"/>
    <xf numFmtId="0" fontId="0" fillId="2" borderId="5" xfId="1" applyFont="1" applyBorder="1"/>
    <xf numFmtId="164" fontId="10" fillId="0" borderId="0" xfId="0" applyNumberFormat="1" applyFont="1"/>
    <xf numFmtId="164" fontId="11" fillId="0" borderId="0" xfId="0" applyNumberFormat="1" applyFont="1"/>
    <xf numFmtId="40" fontId="8" fillId="5" borderId="2" xfId="4" applyNumberFormat="1" applyFont="1" applyFill="1"/>
    <xf numFmtId="0" fontId="6" fillId="4" borderId="2" xfId="4" applyFont="1"/>
    <xf numFmtId="0" fontId="4" fillId="4" borderId="4" xfId="4" applyBorder="1"/>
    <xf numFmtId="40" fontId="0" fillId="5" borderId="0" xfId="0" applyNumberFormat="1" applyFill="1"/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/>
  </cellXfs>
  <cellStyles count="5">
    <cellStyle name="60% - Accent1" xfId="3" builtinId="32"/>
    <cellStyle name="Explanatory Text" xfId="2" builtinId="53"/>
    <cellStyle name="Input" xfId="4" builtinId="20"/>
    <cellStyle name="Normal" xfId="0" builtinId="0"/>
    <cellStyle name="Note" xfId="1" builtinId="10"/>
  </cellStyles>
  <dxfs count="186"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0" formatCode="General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6" formatCode="#,##0_);[Red]\(#,##0\)"/>
    </dxf>
    <dxf>
      <numFmt numFmtId="14" formatCode="0.00%"/>
    </dxf>
    <dxf>
      <numFmt numFmtId="13" formatCode="0%"/>
    </dxf>
    <dxf>
      <numFmt numFmtId="13" formatCode="0%"/>
    </dxf>
    <dxf>
      <numFmt numFmtId="166" formatCode="0.0%"/>
    </dxf>
    <dxf>
      <numFmt numFmtId="13" formatCode="0%"/>
    </dxf>
    <dxf>
      <numFmt numFmtId="166" formatCode="0.0%"/>
    </dxf>
    <dxf>
      <numFmt numFmtId="13" formatCode="0%"/>
    </dxf>
    <dxf>
      <numFmt numFmtId="6" formatCode="#,##0_);[Red]\(#,##0\)"/>
    </dxf>
    <dxf>
      <numFmt numFmtId="14" formatCode="0.00%"/>
    </dxf>
    <dxf>
      <numFmt numFmtId="14" formatCode="0.00%"/>
    </dxf>
    <dxf>
      <numFmt numFmtId="6" formatCode="#,##0_);[Red]\(#,##0\)"/>
    </dxf>
    <dxf>
      <numFmt numFmtId="6" formatCode="#,##0_);[Red]\(#,##0\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6" formatCode="#,##0_);[Red]\(#,##0\)"/>
    </dxf>
    <dxf>
      <numFmt numFmtId="6" formatCode="#,##0_);[Red]\(#,##0\)"/>
    </dxf>
    <dxf>
      <border outline="0">
        <left style="thin">
          <color rgb="FF7F7F7F"/>
        </left>
      </border>
    </dxf>
    <dxf>
      <numFmt numFmtId="8" formatCode="#,##0.00_);[Red]\(#,##0.00\)"/>
    </dxf>
    <dxf>
      <border outline="0">
        <right style="thin">
          <color rgb="FF7F7F7F"/>
        </right>
      </border>
    </dxf>
    <dxf>
      <numFmt numFmtId="164" formatCode="mm/dd/yy"/>
    </dxf>
    <dxf>
      <numFmt numFmtId="164" formatCode="mm/dd/yy"/>
    </dxf>
    <dxf>
      <numFmt numFmtId="164" formatCode="mm/dd/yy"/>
    </dxf>
    <dxf>
      <numFmt numFmtId="164" formatCode="mm/dd/yy"/>
    </dxf>
    <dxf>
      <alignment horizontal="center" vertical="bottom" textRotation="0" wrapText="0" indent="0" justifyLastLine="0" shrinkToFit="0" readingOrder="0"/>
    </dxf>
    <dxf>
      <numFmt numFmtId="165" formatCode="yy/m/d;@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二毛 邓" id="{D5AF6952-DFB4-4EB9-91BF-DCBDFE03949B}" userId="7a206d0ca3328fad" providerId="Windows Live"/>
  <person displayName="Yu Wang" id="{5762D9ED-58C9-4E54-8B3E-500022F66094}" userId="d45dba343eb289d6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53.490254050928" createdVersion="8" refreshedVersion="8" minRefreshableVersion="3" recordCount="79" xr:uid="{05F4C23F-DC46-422C-907A-0D04194B955D}">
  <cacheSource type="worksheet">
    <worksheetSource name="Jnl"/>
  </cacheSource>
  <cacheFields count="18">
    <cacheField name="TrxId" numFmtId="0">
      <sharedItems/>
    </cacheField>
    <cacheField name="TrxDate" numFmtId="164">
      <sharedItems containsSemiMixedTypes="0" containsNonDate="0" containsDate="1" containsString="0" minDate="2025-12-31T00:00:00" maxDate="2026-01-01T00:00:00"/>
    </cacheField>
    <cacheField name="Division" numFmtId="164">
      <sharedItems/>
    </cacheField>
    <cacheField name="Action" numFmtId="164">
      <sharedItems/>
    </cacheField>
    <cacheField name="Vehicle" numFmtId="164">
      <sharedItems/>
    </cacheField>
    <cacheField name="Acct" numFmtId="0">
      <sharedItems/>
    </cacheField>
    <cacheField name="Item" numFmtId="0">
      <sharedItems containsBlank="1" count="66">
        <s v="JH.0682"/>
        <s v="JH.7471"/>
        <s v="CD.0214"/>
        <s v="JT.7708"/>
        <s v="JH.2521"/>
        <s v="JH.1465"/>
        <s v="Casher.fz"/>
        <s v="JH.2131"/>
        <s v="Casher.hd"/>
        <s v="JH.4559"/>
        <s v="Casher.cy"/>
        <s v="NH.3284"/>
        <s v="NS.3524"/>
        <s v="JH.2761"/>
        <s v="WeC"/>
        <s v="NH.5074"/>
        <s v="NS.9539"/>
        <s v="huotang"/>
        <s v="Casher.myc"/>
        <s v="JH.0754"/>
        <s v="JH.8952"/>
        <s v="平台"/>
        <s v="个人社保"/>
        <s v="保证金"/>
        <s v="员工预支款"/>
        <s v="借款"/>
        <s v="货款"/>
        <s v="预付费用"/>
        <s v="预付货款"/>
        <s v="低耗"/>
        <s v="图书"/>
        <s v="服饰"/>
        <s v="明月村-基础投资"/>
        <s v="明月村-累计折旧"/>
        <s v="水街-建设投资"/>
        <s v="水街-累计折旧"/>
        <s v="乐于斯"/>
        <s v="低苦艾"/>
        <s v="税金"/>
        <s v="工资"/>
        <s v="充值"/>
        <s v="预收账款"/>
        <s v="前期修建借款"/>
        <s v="注册资本"/>
        <s v="accuInc"/>
        <s v="明月村.基础投资" u="1"/>
        <s v="SJ.Base" u="1"/>
        <s v="SJ.AccuD" u="1"/>
        <s v="MYC.Base" u="1"/>
        <s v="MYC.AccuD" u="1"/>
        <s v="存货" u="1"/>
        <s v="货物入库" u="1"/>
        <s v="个人所得税" u="1"/>
        <s v="增值税" u="1"/>
        <s v="税金及附加" u="1"/>
        <s v="企业所得税" u="1"/>
        <s v="税" u="1"/>
        <m u="1"/>
        <s v="?" u="1"/>
        <s v="TaoBao" u="1"/>
        <s v="xxx" u="1"/>
        <s v="zzz" u="1"/>
        <s v="Alipay" u="1"/>
        <s v="div.withheld" u="1"/>
        <s v="accuDiv" u="1"/>
        <s v="land.MYC" u="1"/>
      </sharedItems>
    </cacheField>
    <cacheField name="Bal" numFmtId="40">
      <sharedItems containsSemiMixedTypes="0" containsString="0" containsNumber="1" minValue="-5217130.03" maxValue="25036191"/>
    </cacheField>
    <cacheField name="IsValid" numFmtId="0">
      <sharedItems/>
    </cacheField>
    <cacheField name="NetBal" numFmtId="38">
      <sharedItems containsSemiMixedTypes="0" containsString="0" containsNumber="1" minValue="-25036191" maxValue="24079061.699999999"/>
    </cacheField>
    <cacheField name="BSLv0" numFmtId="0">
      <sharedItems count="3">
        <s v="A"/>
        <s v="LC"/>
        <e v="#N/A" u="1"/>
      </sharedItems>
    </cacheField>
    <cacheField name="BSLv1" numFmtId="0">
      <sharedItems/>
    </cacheField>
    <cacheField name="BSLv2" numFmtId="0">
      <sharedItems count="14">
        <s v="Cash"/>
        <s v="Rec-Pay"/>
        <s v="Prep-Sub"/>
        <s v="Invtr"/>
        <s v="PP&amp;E"/>
        <s v="Invest-LTD"/>
        <s v="Cap"/>
        <s v="Rsv"/>
        <s v="Invest" u="1"/>
        <e v="#N/A" u="1"/>
        <s v="0.Cash" u="1"/>
        <s v="1.Rec-Pay" u="1"/>
        <s v="2.Prep-Sub" u="1"/>
        <s v="3.Invtr" u="1"/>
      </sharedItems>
    </cacheField>
    <cacheField name="IncNode" numFmtId="0">
      <sharedItems/>
    </cacheField>
    <cacheField name="IncType" numFmtId="0">
      <sharedItems/>
    </cacheField>
    <cacheField name="NameBSLv2" numFmtId="0">
      <sharedItems count="9">
        <s v="0.现金"/>
        <s v="1.应收-应付"/>
        <s v="2.预付-订阅"/>
        <s v="3.库存占款"/>
        <s v="5.硬件设施"/>
        <s v="6.投资与长期负债"/>
        <s v="X.资本"/>
        <s v="9.储备性权益"/>
        <e v="#N/A" u="1"/>
      </sharedItems>
    </cacheField>
    <cacheField name="NameAcct" numFmtId="0">
      <sharedItems count="16">
        <s v="银行"/>
        <s v="物理现金"/>
        <s v="应收-一般"/>
        <s v="订单"/>
        <s v="当期存货"/>
        <s v="房地产"/>
        <s v="权益性投资"/>
        <s v="应付-一般"/>
        <s v="应付-税款"/>
        <s v="应付-薪资"/>
        <s v="应付-其他"/>
        <s v="额外投入"/>
        <s v="原始资本"/>
        <s v="可分配利润"/>
        <s v="应收账款-一般" u="1"/>
        <s v="应付账款-一般" u="1"/>
      </sharedItems>
    </cacheField>
    <cacheField name="NameVehicle" numFmtId="0">
      <sharedItems count="14">
        <s v="远家花园"/>
        <s v="创业园-琦"/>
        <s v="创业园-晓"/>
        <s v="桑木"/>
        <s v="榆乐"/>
        <s v="喜家文化"/>
        <s v="远家花园高新分公司"/>
        <s v="米小易"/>
        <s v="远家文化"/>
        <s v="远家文化蒲江分公司"/>
        <s v="张小喜"/>
        <s v="小月号"/>
        <s v="郑术燕"/>
        <s v="染匠文化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T0000"/>
    <d v="2025-12-31T00:00:00"/>
    <s v="Ctrl"/>
    <s v="forward"/>
    <s v="HuaYuan"/>
    <s v="Bank"/>
    <x v="0"/>
    <n v="1982899.24"/>
    <b v="1"/>
    <n v="1982899.24"/>
    <x v="0"/>
    <s v="Assets"/>
    <x v="0"/>
    <s v="Other"/>
    <s v="Non-Op"/>
    <x v="0"/>
    <x v="0"/>
    <x v="0"/>
  </r>
  <r>
    <s v="T0000"/>
    <d v="2025-12-31T00:00:00"/>
    <s v="Ctrl"/>
    <s v="forward"/>
    <s v="CYY-Qi"/>
    <s v="Bank"/>
    <x v="1"/>
    <n v="612335.77"/>
    <b v="1"/>
    <n v="612335.77"/>
    <x v="0"/>
    <s v="Assets"/>
    <x v="0"/>
    <s v="Other"/>
    <s v="Non-Op"/>
    <x v="0"/>
    <x v="0"/>
    <x v="1"/>
  </r>
  <r>
    <s v="T0000"/>
    <d v="2025-12-31T00:00:00"/>
    <s v="Ctrl"/>
    <s v="forward"/>
    <s v="CYY-Xiao"/>
    <s v="Bank"/>
    <x v="2"/>
    <n v="30640.9"/>
    <b v="1"/>
    <n v="30640.9"/>
    <x v="0"/>
    <s v="Assets"/>
    <x v="0"/>
    <s v="Other"/>
    <s v="Non-Op"/>
    <x v="0"/>
    <x v="0"/>
    <x v="2"/>
  </r>
  <r>
    <s v="T0000"/>
    <d v="2025-12-31T00:00:00"/>
    <s v="Ctrl"/>
    <s v="forward"/>
    <s v="SangMu"/>
    <s v="Bank"/>
    <x v="3"/>
    <n v="1597158.42"/>
    <b v="1"/>
    <n v="1597158.42"/>
    <x v="0"/>
    <s v="Assets"/>
    <x v="0"/>
    <s v="Other"/>
    <s v="Non-Op"/>
    <x v="0"/>
    <x v="0"/>
    <x v="3"/>
  </r>
  <r>
    <s v="T0000"/>
    <d v="2025-12-31T00:00:00"/>
    <s v="Ctrl"/>
    <s v="forward"/>
    <s v="YuLe"/>
    <s v="Bank"/>
    <x v="4"/>
    <n v="2759122.91"/>
    <b v="1"/>
    <n v="2759122.91"/>
    <x v="0"/>
    <s v="Assets"/>
    <x v="0"/>
    <s v="Other"/>
    <s v="Non-Op"/>
    <x v="0"/>
    <x v="0"/>
    <x v="4"/>
  </r>
  <r>
    <s v="T0000"/>
    <d v="2025-12-31T00:00:00"/>
    <s v="Ctrl"/>
    <s v="forward"/>
    <s v="XiJia"/>
    <s v="Bank"/>
    <x v="5"/>
    <n v="838646.21"/>
    <b v="1"/>
    <n v="838646.21"/>
    <x v="0"/>
    <s v="Assets"/>
    <x v="0"/>
    <s v="Other"/>
    <s v="Non-Op"/>
    <x v="0"/>
    <x v="0"/>
    <x v="5"/>
  </r>
  <r>
    <s v="T0000"/>
    <d v="2025-12-31T00:00:00"/>
    <s v="Ctrl"/>
    <s v="forward"/>
    <s v="XiJia"/>
    <s v="Phys.C"/>
    <x v="6"/>
    <n v="25540.15"/>
    <b v="1"/>
    <n v="25540.15"/>
    <x v="0"/>
    <s v="Assets"/>
    <x v="0"/>
    <s v="Other"/>
    <s v="Non-Op"/>
    <x v="0"/>
    <x v="1"/>
    <x v="5"/>
  </r>
  <r>
    <s v="T0000"/>
    <d v="2025-12-31T00:00:00"/>
    <s v="Ctrl"/>
    <s v="forward"/>
    <s v="HY-GaoX"/>
    <s v="Bank"/>
    <x v="7"/>
    <n v="125030.24"/>
    <b v="1"/>
    <n v="125030.24"/>
    <x v="0"/>
    <s v="Assets"/>
    <x v="0"/>
    <s v="Other"/>
    <s v="Non-Op"/>
    <x v="0"/>
    <x v="0"/>
    <x v="6"/>
  </r>
  <r>
    <s v="T0000"/>
    <d v="2025-12-31T00:00:00"/>
    <s v="Ctrl"/>
    <s v="forward"/>
    <s v="XiJia"/>
    <s v="Phys.C"/>
    <x v="8"/>
    <n v="2000"/>
    <b v="1"/>
    <n v="2000"/>
    <x v="0"/>
    <s v="Assets"/>
    <x v="0"/>
    <s v="Other"/>
    <s v="Non-Op"/>
    <x v="0"/>
    <x v="1"/>
    <x v="5"/>
  </r>
  <r>
    <s v="T0000"/>
    <d v="2025-12-31T00:00:00"/>
    <s v="Ctrl"/>
    <s v="forward"/>
    <s v="MiXiaoYi"/>
    <s v="Bank"/>
    <x v="9"/>
    <n v="1012107.86"/>
    <b v="1"/>
    <n v="1012107.86"/>
    <x v="0"/>
    <s v="Assets"/>
    <x v="0"/>
    <s v="Other"/>
    <s v="Non-Op"/>
    <x v="0"/>
    <x v="0"/>
    <x v="7"/>
  </r>
  <r>
    <s v="T0000"/>
    <d v="2025-12-31T00:00:00"/>
    <s v="Ctrl"/>
    <s v="forward"/>
    <s v="XiJia"/>
    <s v="Phys.C"/>
    <x v="10"/>
    <n v="1304"/>
    <b v="1"/>
    <n v="1304"/>
    <x v="0"/>
    <s v="Assets"/>
    <x v="0"/>
    <s v="Other"/>
    <s v="Non-Op"/>
    <x v="0"/>
    <x v="1"/>
    <x v="5"/>
  </r>
  <r>
    <s v="T0000"/>
    <d v="2025-12-31T00:00:00"/>
    <s v="Ctrl"/>
    <s v="forward"/>
    <s v="YuanWH"/>
    <s v="Bank"/>
    <x v="11"/>
    <n v="174191.78"/>
    <b v="1"/>
    <n v="174191.78"/>
    <x v="0"/>
    <s v="Assets"/>
    <x v="0"/>
    <s v="Other"/>
    <s v="Non-Op"/>
    <x v="0"/>
    <x v="0"/>
    <x v="8"/>
  </r>
  <r>
    <s v="T0000"/>
    <d v="2025-12-31T00:00:00"/>
    <s v="Ctrl"/>
    <s v="forward"/>
    <s v="YWH-PuJ"/>
    <s v="Bank"/>
    <x v="12"/>
    <n v="21355.13"/>
    <b v="1"/>
    <n v="21355.13"/>
    <x v="0"/>
    <s v="Assets"/>
    <x v="0"/>
    <s v="Other"/>
    <s v="Non-Op"/>
    <x v="0"/>
    <x v="0"/>
    <x v="9"/>
  </r>
  <r>
    <s v="T0000"/>
    <d v="2025-12-31T00:00:00"/>
    <s v="Ctrl"/>
    <s v="forward"/>
    <s v="XiaoXi"/>
    <s v="Bank"/>
    <x v="13"/>
    <n v="143995.32"/>
    <b v="1"/>
    <n v="143995.32"/>
    <x v="0"/>
    <s v="Assets"/>
    <x v="0"/>
    <s v="Other"/>
    <s v="Non-Op"/>
    <x v="0"/>
    <x v="0"/>
    <x v="10"/>
  </r>
  <r>
    <s v="T0000"/>
    <d v="2025-12-31T00:00:00"/>
    <s v="Ctrl"/>
    <s v="forward"/>
    <s v="XiaoXi"/>
    <s v="Bank"/>
    <x v="14"/>
    <n v="435221.41"/>
    <b v="1"/>
    <n v="435221.41"/>
    <x v="0"/>
    <s v="Assets"/>
    <x v="0"/>
    <s v="Other"/>
    <s v="Non-Op"/>
    <x v="0"/>
    <x v="0"/>
    <x v="10"/>
  </r>
  <r>
    <s v="T0000"/>
    <d v="2025-12-31T00:00:00"/>
    <s v="Ctrl"/>
    <s v="forward"/>
    <s v="XiaoYue"/>
    <s v="Bank"/>
    <x v="14"/>
    <n v="12977.6"/>
    <b v="1"/>
    <n v="12977.6"/>
    <x v="0"/>
    <s v="Assets"/>
    <x v="0"/>
    <s v="Other"/>
    <s v="Non-Op"/>
    <x v="0"/>
    <x v="0"/>
    <x v="11"/>
  </r>
  <r>
    <s v="T0000"/>
    <d v="2025-12-31T00:00:00"/>
    <s v="Ctrl"/>
    <s v="forward"/>
    <s v="ZhengSY"/>
    <s v="Bank"/>
    <x v="15"/>
    <n v="30900.25"/>
    <b v="1"/>
    <n v="30900.25"/>
    <x v="0"/>
    <s v="Assets"/>
    <x v="0"/>
    <s v="Other"/>
    <s v="Non-Op"/>
    <x v="0"/>
    <x v="0"/>
    <x v="12"/>
  </r>
  <r>
    <s v="T0000"/>
    <d v="2025-12-31T00:00:00"/>
    <s v="Ctrl"/>
    <s v="forward"/>
    <s v="YuanWH"/>
    <s v="Bank"/>
    <x v="16"/>
    <n v="6917.42"/>
    <b v="1"/>
    <n v="6917.42"/>
    <x v="0"/>
    <s v="Assets"/>
    <x v="0"/>
    <s v="Other"/>
    <s v="Non-Op"/>
    <x v="0"/>
    <x v="0"/>
    <x v="8"/>
  </r>
  <r>
    <s v="T0000"/>
    <d v="2025-12-31T00:00:00"/>
    <s v="Ctrl"/>
    <s v="forward"/>
    <s v="YWH-PuJ"/>
    <s v="Bank"/>
    <x v="17"/>
    <n v="709.51"/>
    <b v="1"/>
    <n v="709.51"/>
    <x v="0"/>
    <s v="Assets"/>
    <x v="0"/>
    <s v="Other"/>
    <s v="Non-Op"/>
    <x v="0"/>
    <x v="0"/>
    <x v="9"/>
  </r>
  <r>
    <s v="T0000"/>
    <d v="2025-12-31T00:00:00"/>
    <s v="Ctrl"/>
    <s v="forward"/>
    <s v="YWH-PuJ"/>
    <s v="Phys.C"/>
    <x v="18"/>
    <n v="20812"/>
    <b v="1"/>
    <n v="20812"/>
    <x v="0"/>
    <s v="Assets"/>
    <x v="0"/>
    <s v="Other"/>
    <s v="Non-Op"/>
    <x v="0"/>
    <x v="1"/>
    <x v="9"/>
  </r>
  <r>
    <s v="T0000"/>
    <d v="2025-12-31T00:00:00"/>
    <s v="Ctrl"/>
    <s v="forward"/>
    <s v="RanJ"/>
    <s v="Bank"/>
    <x v="19"/>
    <n v="630993.46"/>
    <b v="1"/>
    <n v="630993.46"/>
    <x v="0"/>
    <s v="Assets"/>
    <x v="0"/>
    <s v="Other"/>
    <s v="Non-Op"/>
    <x v="0"/>
    <x v="0"/>
    <x v="13"/>
  </r>
  <r>
    <s v="T0000"/>
    <d v="2025-12-31T00:00:00"/>
    <s v="Ctrl"/>
    <s v="forward"/>
    <s v="RanJ"/>
    <s v="Bank"/>
    <x v="20"/>
    <n v="20124.45"/>
    <b v="1"/>
    <n v="20124.45"/>
    <x v="0"/>
    <s v="Assets"/>
    <x v="0"/>
    <s v="Other"/>
    <s v="Non-Op"/>
    <x v="0"/>
    <x v="0"/>
    <x v="13"/>
  </r>
  <r>
    <s v="T0000"/>
    <d v="2025-12-31T00:00:00"/>
    <s v="Ctrl"/>
    <s v="forward"/>
    <s v="XiJia"/>
    <s v="AR"/>
    <x v="21"/>
    <n v="18526.13"/>
    <b v="1"/>
    <n v="18526.13"/>
    <x v="0"/>
    <s v="Assets"/>
    <x v="1"/>
    <s v="Other"/>
    <s v="Non-Op"/>
    <x v="1"/>
    <x v="2"/>
    <x v="5"/>
  </r>
  <r>
    <s v="T0000"/>
    <d v="2025-12-31T00:00:00"/>
    <s v="Ctrl"/>
    <s v="forward"/>
    <s v="XiJia"/>
    <s v="AR"/>
    <x v="22"/>
    <n v="2385.75"/>
    <b v="1"/>
    <n v="2385.75"/>
    <x v="0"/>
    <s v="Assets"/>
    <x v="1"/>
    <s v="Other"/>
    <s v="Non-Op"/>
    <x v="1"/>
    <x v="2"/>
    <x v="5"/>
  </r>
  <r>
    <s v="T0000"/>
    <d v="2025-12-31T00:00:00"/>
    <s v="Ctrl"/>
    <s v="forward"/>
    <s v="XiJia"/>
    <s v="AR"/>
    <x v="23"/>
    <n v="100000"/>
    <b v="1"/>
    <n v="100000"/>
    <x v="0"/>
    <s v="Assets"/>
    <x v="1"/>
    <s v="Other"/>
    <s v="Non-Op"/>
    <x v="1"/>
    <x v="2"/>
    <x v="5"/>
  </r>
  <r>
    <s v="T0000"/>
    <d v="2025-12-31T00:00:00"/>
    <s v="Ctrl"/>
    <s v="forward"/>
    <s v="HuaYuan"/>
    <s v="AR"/>
    <x v="21"/>
    <n v="289043.94"/>
    <b v="1"/>
    <n v="289043.94"/>
    <x v="0"/>
    <s v="Assets"/>
    <x v="1"/>
    <s v="Other"/>
    <s v="Non-Op"/>
    <x v="1"/>
    <x v="2"/>
    <x v="0"/>
  </r>
  <r>
    <s v="T0000"/>
    <d v="2025-12-31T00:00:00"/>
    <s v="Ctrl"/>
    <s v="forward"/>
    <s v="HuaYuan"/>
    <s v="AR"/>
    <x v="22"/>
    <n v="24591.75"/>
    <b v="1"/>
    <n v="24591.75"/>
    <x v="0"/>
    <s v="Assets"/>
    <x v="1"/>
    <s v="Other"/>
    <s v="Non-Op"/>
    <x v="1"/>
    <x v="2"/>
    <x v="0"/>
  </r>
  <r>
    <s v="T0000"/>
    <d v="2025-12-31T00:00:00"/>
    <s v="Ctrl"/>
    <s v="forward"/>
    <s v="HuaYuan"/>
    <s v="AR"/>
    <x v="23"/>
    <n v="66888.95"/>
    <b v="1"/>
    <n v="66888.95"/>
    <x v="0"/>
    <s v="Assets"/>
    <x v="1"/>
    <s v="Other"/>
    <s v="Non-Op"/>
    <x v="1"/>
    <x v="2"/>
    <x v="0"/>
  </r>
  <r>
    <s v="T0000"/>
    <d v="2025-12-31T00:00:00"/>
    <s v="Ctrl"/>
    <s v="forward"/>
    <s v="HY-GaoX"/>
    <s v="AR"/>
    <x v="21"/>
    <n v="4640.3"/>
    <b v="1"/>
    <n v="4640.3"/>
    <x v="0"/>
    <s v="Assets"/>
    <x v="1"/>
    <s v="Other"/>
    <s v="Non-Op"/>
    <x v="1"/>
    <x v="2"/>
    <x v="6"/>
  </r>
  <r>
    <s v="T0000"/>
    <d v="2025-12-31T00:00:00"/>
    <s v="Ctrl"/>
    <s v="forward"/>
    <s v="HY-GaoX"/>
    <s v="AR"/>
    <x v="22"/>
    <n v="1474.3"/>
    <b v="1"/>
    <n v="1474.3"/>
    <x v="0"/>
    <s v="Assets"/>
    <x v="1"/>
    <s v="Other"/>
    <s v="Non-Op"/>
    <x v="1"/>
    <x v="2"/>
    <x v="6"/>
  </r>
  <r>
    <s v="T0000"/>
    <d v="2025-12-31T00:00:00"/>
    <s v="Ctrl"/>
    <s v="forward"/>
    <s v="RanJ"/>
    <s v="AR"/>
    <x v="22"/>
    <n v="3340.05"/>
    <b v="1"/>
    <n v="3340.05"/>
    <x v="0"/>
    <s v="Assets"/>
    <x v="1"/>
    <s v="Other"/>
    <s v="Non-Op"/>
    <x v="1"/>
    <x v="2"/>
    <x v="13"/>
  </r>
  <r>
    <s v="T0000"/>
    <d v="2025-12-31T00:00:00"/>
    <s v="Ctrl"/>
    <s v="forward"/>
    <s v="YuLe"/>
    <s v="AR"/>
    <x v="22"/>
    <n v="14294.35"/>
    <b v="1"/>
    <n v="14294.35"/>
    <x v="0"/>
    <s v="Assets"/>
    <x v="1"/>
    <s v="Other"/>
    <s v="Non-Op"/>
    <x v="1"/>
    <x v="2"/>
    <x v="4"/>
  </r>
  <r>
    <s v="T0000"/>
    <d v="2025-12-31T00:00:00"/>
    <s v="Ctrl"/>
    <s v="forward"/>
    <s v="SangMu"/>
    <s v="AR"/>
    <x v="22"/>
    <n v="1431.45"/>
    <b v="1"/>
    <n v="1431.45"/>
    <x v="0"/>
    <s v="Assets"/>
    <x v="1"/>
    <s v="Other"/>
    <s v="Non-Op"/>
    <x v="1"/>
    <x v="2"/>
    <x v="3"/>
  </r>
  <r>
    <s v="T0000"/>
    <d v="2025-12-31T00:00:00"/>
    <s v="Ctrl"/>
    <s v="forward"/>
    <s v="MiXiaoYi"/>
    <s v="AR"/>
    <x v="22"/>
    <n v="11451.6"/>
    <b v="1"/>
    <n v="11451.6"/>
    <x v="0"/>
    <s v="Assets"/>
    <x v="1"/>
    <s v="Other"/>
    <s v="Non-Op"/>
    <x v="1"/>
    <x v="2"/>
    <x v="7"/>
  </r>
  <r>
    <s v="T0000"/>
    <d v="2025-12-31T00:00:00"/>
    <s v="Ctrl"/>
    <s v="forward"/>
    <s v="MiXiaoYi"/>
    <s v="AR"/>
    <x v="23"/>
    <n v="4000"/>
    <b v="1"/>
    <n v="4000"/>
    <x v="0"/>
    <s v="Assets"/>
    <x v="1"/>
    <s v="Other"/>
    <s v="Non-Op"/>
    <x v="1"/>
    <x v="2"/>
    <x v="7"/>
  </r>
  <r>
    <s v="T0000"/>
    <d v="2025-12-31T00:00:00"/>
    <s v="Ctrl"/>
    <s v="forward"/>
    <s v="MiXiaoYi"/>
    <s v="AR"/>
    <x v="21"/>
    <n v="12892.74"/>
    <b v="1"/>
    <n v="12892.74"/>
    <x v="0"/>
    <s v="Assets"/>
    <x v="1"/>
    <s v="Other"/>
    <s v="Non-Op"/>
    <x v="1"/>
    <x v="2"/>
    <x v="7"/>
  </r>
  <r>
    <s v="T0000"/>
    <d v="2025-12-31T00:00:00"/>
    <s v="Ctrl"/>
    <s v="forward"/>
    <s v="MiXiaoYi"/>
    <s v="AR"/>
    <x v="24"/>
    <n v="30000"/>
    <b v="1"/>
    <n v="30000"/>
    <x v="0"/>
    <s v="Assets"/>
    <x v="1"/>
    <s v="Other"/>
    <s v="Non-Op"/>
    <x v="1"/>
    <x v="2"/>
    <x v="7"/>
  </r>
  <r>
    <s v="T0000"/>
    <d v="2025-12-31T00:00:00"/>
    <s v="Ctrl"/>
    <s v="forward"/>
    <s v="YuanWH"/>
    <s v="AR"/>
    <x v="21"/>
    <n v="240013.22999999998"/>
    <b v="1"/>
    <n v="240013.22999999998"/>
    <x v="0"/>
    <s v="Assets"/>
    <x v="1"/>
    <s v="Other"/>
    <s v="Non-Op"/>
    <x v="1"/>
    <x v="2"/>
    <x v="8"/>
  </r>
  <r>
    <s v="T0000"/>
    <d v="2025-12-31T00:00:00"/>
    <s v="Ctrl"/>
    <s v="forward"/>
    <s v="YuanWH"/>
    <s v="AR"/>
    <x v="25"/>
    <n v="150000"/>
    <b v="1"/>
    <n v="150000"/>
    <x v="0"/>
    <s v="Assets"/>
    <x v="1"/>
    <s v="Other"/>
    <s v="Non-Op"/>
    <x v="1"/>
    <x v="2"/>
    <x v="8"/>
  </r>
  <r>
    <s v="T0000"/>
    <d v="2025-12-31T00:00:00"/>
    <s v="Ctrl"/>
    <s v="forward"/>
    <s v="YuanWH"/>
    <s v="AR"/>
    <x v="23"/>
    <n v="38389.65"/>
    <b v="1"/>
    <n v="38389.65"/>
    <x v="0"/>
    <s v="Assets"/>
    <x v="1"/>
    <s v="Other"/>
    <s v="Non-Op"/>
    <x v="1"/>
    <x v="2"/>
    <x v="8"/>
  </r>
  <r>
    <s v="T0000"/>
    <d v="2025-12-31T00:00:00"/>
    <s v="Ctrl"/>
    <s v="forward"/>
    <s v="CYY-Qi"/>
    <s v="AR"/>
    <x v="26"/>
    <n v="25551.3"/>
    <b v="1"/>
    <n v="25551.3"/>
    <x v="0"/>
    <s v="Assets"/>
    <x v="1"/>
    <s v="Other"/>
    <s v="Non-Op"/>
    <x v="1"/>
    <x v="2"/>
    <x v="1"/>
  </r>
  <r>
    <s v="T0000"/>
    <d v="2025-12-31T00:00:00"/>
    <s v="Ctrl"/>
    <s v="forward"/>
    <s v="XiJia"/>
    <s v="Order"/>
    <x v="27"/>
    <n v="130521.15"/>
    <b v="1"/>
    <n v="130521.15"/>
    <x v="0"/>
    <s v="Assets"/>
    <x v="2"/>
    <s v="Other"/>
    <s v="Non-Op"/>
    <x v="2"/>
    <x v="3"/>
    <x v="5"/>
  </r>
  <r>
    <s v="T0000"/>
    <d v="2025-12-31T00:00:00"/>
    <s v="Ctrl"/>
    <s v="forward"/>
    <s v="HuaYuan"/>
    <s v="Order"/>
    <x v="27"/>
    <n v="87645.27"/>
    <b v="1"/>
    <n v="87645.27"/>
    <x v="0"/>
    <s v="Assets"/>
    <x v="2"/>
    <s v="Other"/>
    <s v="Non-Op"/>
    <x v="2"/>
    <x v="3"/>
    <x v="0"/>
  </r>
  <r>
    <s v="T0000"/>
    <d v="2025-12-31T00:00:00"/>
    <s v="Ctrl"/>
    <s v="forward"/>
    <s v="SangMu"/>
    <s v="Order"/>
    <x v="28"/>
    <n v="99417.5"/>
    <b v="1"/>
    <n v="99417.5"/>
    <x v="0"/>
    <s v="Assets"/>
    <x v="2"/>
    <s v="Other"/>
    <s v="Non-Op"/>
    <x v="2"/>
    <x v="3"/>
    <x v="3"/>
  </r>
  <r>
    <s v="T0000"/>
    <d v="2025-12-31T00:00:00"/>
    <s v="Ctrl"/>
    <s v="forward"/>
    <s v="MiXiaoYi"/>
    <s v="Order"/>
    <x v="27"/>
    <n v="1225"/>
    <b v="1"/>
    <n v="1225"/>
    <x v="0"/>
    <s v="Assets"/>
    <x v="2"/>
    <s v="Other"/>
    <s v="Non-Op"/>
    <x v="2"/>
    <x v="3"/>
    <x v="7"/>
  </r>
  <r>
    <s v="T0000"/>
    <d v="2025-12-31T00:00:00"/>
    <s v="Ctrl"/>
    <s v="forward"/>
    <s v="YuanWH"/>
    <s v="Curr"/>
    <x v="29"/>
    <n v="192761.82"/>
    <b v="1"/>
    <n v="192761.82"/>
    <x v="0"/>
    <s v="Assets"/>
    <x v="3"/>
    <s v="Other"/>
    <s v="Non-Op"/>
    <x v="3"/>
    <x v="4"/>
    <x v="8"/>
  </r>
  <r>
    <s v="T0000"/>
    <d v="2025-12-31T00:00:00"/>
    <s v="Ctrl"/>
    <s v="forward"/>
    <s v="MiXiaoYi"/>
    <s v="Curr"/>
    <x v="30"/>
    <n v="242182.81"/>
    <b v="1"/>
    <n v="242182.81"/>
    <x v="0"/>
    <s v="Assets"/>
    <x v="3"/>
    <s v="Other"/>
    <s v="Non-Op"/>
    <x v="3"/>
    <x v="4"/>
    <x v="7"/>
  </r>
  <r>
    <s v="T0000"/>
    <d v="2025-12-31T00:00:00"/>
    <s v="Ctrl"/>
    <s v="forward"/>
    <s v="HuaYuan"/>
    <s v="Curr"/>
    <x v="31"/>
    <n v="10513383.689999999"/>
    <b v="1"/>
    <n v="10513383.689999999"/>
    <x v="0"/>
    <s v="Assets"/>
    <x v="3"/>
    <s v="Other"/>
    <s v="Non-Op"/>
    <x v="3"/>
    <x v="4"/>
    <x v="0"/>
  </r>
  <r>
    <s v="T0000"/>
    <d v="2025-12-31T00:00:00"/>
    <s v="Ctrl"/>
    <s v="forward"/>
    <s v="YuanWH"/>
    <s v="Property"/>
    <x v="32"/>
    <n v="24079061.699999999"/>
    <b v="1"/>
    <n v="24079061.699999999"/>
    <x v="0"/>
    <s v="Assets"/>
    <x v="4"/>
    <s v="Other"/>
    <s v="Non-Op"/>
    <x v="4"/>
    <x v="5"/>
    <x v="8"/>
  </r>
  <r>
    <s v="T0000"/>
    <d v="2025-12-31T00:00:00"/>
    <s v="Ctrl"/>
    <s v="forward"/>
    <s v="YuanWH"/>
    <s v="Property"/>
    <x v="33"/>
    <n v="-5217130.03"/>
    <b v="1"/>
    <n v="-5217130.03"/>
    <x v="0"/>
    <s v="Assets"/>
    <x v="4"/>
    <s v="Other"/>
    <s v="Non-Op"/>
    <x v="4"/>
    <x v="5"/>
    <x v="8"/>
  </r>
  <r>
    <s v="T0000"/>
    <d v="2025-12-31T00:00:00"/>
    <s v="Ctrl"/>
    <s v="forward"/>
    <s v="HY-GaoX"/>
    <s v="Property"/>
    <x v="34"/>
    <n v="6467900"/>
    <b v="1"/>
    <n v="6467900"/>
    <x v="0"/>
    <s v="Assets"/>
    <x v="4"/>
    <s v="Other"/>
    <s v="Non-Op"/>
    <x v="4"/>
    <x v="5"/>
    <x v="6"/>
  </r>
  <r>
    <s v="T0000"/>
    <d v="2025-12-31T00:00:00"/>
    <s v="Ctrl"/>
    <s v="forward"/>
    <s v="HY-GaoX"/>
    <s v="Property"/>
    <x v="35"/>
    <n v="-1065602.3999999999"/>
    <b v="1"/>
    <n v="-1065602.3999999999"/>
    <x v="0"/>
    <s v="Assets"/>
    <x v="4"/>
    <s v="Other"/>
    <s v="Non-Op"/>
    <x v="4"/>
    <x v="5"/>
    <x v="6"/>
  </r>
  <r>
    <s v="T0000"/>
    <d v="2025-12-31T00:00:00"/>
    <s v="Ctrl"/>
    <s v="forward"/>
    <s v="XiJia"/>
    <s v="Eq-Inv"/>
    <x v="36"/>
    <n v="2000000"/>
    <b v="1"/>
    <n v="2000000"/>
    <x v="0"/>
    <s v="Assets"/>
    <x v="5"/>
    <s v="Other"/>
    <s v="Non-Op"/>
    <x v="5"/>
    <x v="6"/>
    <x v="5"/>
  </r>
  <r>
    <s v="T0000"/>
    <d v="2025-12-31T00:00:00"/>
    <s v="Ctrl"/>
    <s v="forward"/>
    <s v="XiJia"/>
    <s v="Eq-Inv"/>
    <x v="37"/>
    <n v="100000"/>
    <b v="1"/>
    <n v="100000"/>
    <x v="0"/>
    <s v="Assets"/>
    <x v="5"/>
    <s v="Other"/>
    <s v="Non-Op"/>
    <x v="5"/>
    <x v="6"/>
    <x v="5"/>
  </r>
  <r>
    <s v="T0000"/>
    <d v="2025-12-31T00:00:00"/>
    <s v="Ctrl"/>
    <s v="forward"/>
    <s v="XiJia"/>
    <s v="AP"/>
    <x v="26"/>
    <n v="6891.7999999999993"/>
    <b v="1"/>
    <n v="-6891.7999999999993"/>
    <x v="1"/>
    <s v="Liability"/>
    <x v="1"/>
    <s v="Other"/>
    <s v="Non-Op"/>
    <x v="1"/>
    <x v="7"/>
    <x v="5"/>
  </r>
  <r>
    <s v="T0000"/>
    <d v="2025-12-31T00:00:00"/>
    <s v="Ctrl"/>
    <s v="forward"/>
    <s v="XiJia"/>
    <s v="ToTax"/>
    <x v="38"/>
    <n v="30730.53"/>
    <b v="1"/>
    <n v="-30730.53"/>
    <x v="1"/>
    <s v="Liability"/>
    <x v="1"/>
    <s v="Other"/>
    <s v="Non-Op"/>
    <x v="1"/>
    <x v="8"/>
    <x v="5"/>
  </r>
  <r>
    <s v="T0000"/>
    <d v="2025-12-31T00:00:00"/>
    <s v="Ctrl"/>
    <s v="forward"/>
    <s v="XiJia"/>
    <s v="ToEmp"/>
    <x v="39"/>
    <n v="37380.69"/>
    <b v="1"/>
    <n v="-37380.69"/>
    <x v="1"/>
    <s v="Liability"/>
    <x v="1"/>
    <s v="Other"/>
    <s v="Non-Op"/>
    <x v="1"/>
    <x v="9"/>
    <x v="5"/>
  </r>
  <r>
    <s v="T0000"/>
    <d v="2025-12-31T00:00:00"/>
    <s v="Ctrl"/>
    <s v="forward"/>
    <s v="HuaYuan"/>
    <s v="ToTax"/>
    <x v="38"/>
    <n v="441296.96"/>
    <b v="1"/>
    <n v="-441296.96"/>
    <x v="1"/>
    <s v="Liability"/>
    <x v="1"/>
    <s v="Other"/>
    <s v="Non-Op"/>
    <x v="1"/>
    <x v="8"/>
    <x v="0"/>
  </r>
  <r>
    <s v="T0000"/>
    <d v="2025-12-31T00:00:00"/>
    <s v="Ctrl"/>
    <s v="forward"/>
    <s v="HuaYuan"/>
    <s v="ToEmp"/>
    <x v="39"/>
    <n v="454010.9"/>
    <b v="1"/>
    <n v="-454010.9"/>
    <x v="1"/>
    <s v="Liability"/>
    <x v="1"/>
    <s v="Other"/>
    <s v="Non-Op"/>
    <x v="1"/>
    <x v="9"/>
    <x v="0"/>
  </r>
  <r>
    <s v="T0000"/>
    <d v="2025-12-31T00:00:00"/>
    <s v="Ctrl"/>
    <s v="forward"/>
    <s v="HY-GaoX"/>
    <s v="ToTax"/>
    <x v="38"/>
    <n v="5489.66"/>
    <b v="1"/>
    <n v="-5489.66"/>
    <x v="1"/>
    <s v="Liability"/>
    <x v="1"/>
    <s v="Other"/>
    <s v="Non-Op"/>
    <x v="1"/>
    <x v="8"/>
    <x v="6"/>
  </r>
  <r>
    <s v="T0000"/>
    <d v="2025-12-31T00:00:00"/>
    <s v="Ctrl"/>
    <s v="forward"/>
    <s v="HY-GaoX"/>
    <s v="ToEmp"/>
    <x v="39"/>
    <n v="34956.620000000003"/>
    <b v="1"/>
    <n v="-34956.620000000003"/>
    <x v="1"/>
    <s v="Liability"/>
    <x v="1"/>
    <s v="Other"/>
    <s v="Non-Op"/>
    <x v="1"/>
    <x v="9"/>
    <x v="6"/>
  </r>
  <r>
    <s v="T0000"/>
    <d v="2025-12-31T00:00:00"/>
    <s v="Ctrl"/>
    <s v="forward"/>
    <s v="HY-GaoX"/>
    <s v="ToOther"/>
    <x v="23"/>
    <n v="2200"/>
    <b v="1"/>
    <n v="-2200"/>
    <x v="1"/>
    <s v="Liability"/>
    <x v="1"/>
    <s v="Other"/>
    <s v="Non-Op"/>
    <x v="1"/>
    <x v="10"/>
    <x v="6"/>
  </r>
  <r>
    <s v="T0000"/>
    <d v="2025-12-31T00:00:00"/>
    <s v="Ctrl"/>
    <s v="forward"/>
    <s v="RanJ"/>
    <s v="ToTax"/>
    <x v="38"/>
    <n v="15725.69"/>
    <b v="1"/>
    <n v="-15725.69"/>
    <x v="1"/>
    <s v="Liability"/>
    <x v="1"/>
    <s v="Other"/>
    <s v="Non-Op"/>
    <x v="1"/>
    <x v="8"/>
    <x v="13"/>
  </r>
  <r>
    <s v="T0000"/>
    <d v="2025-12-31T00:00:00"/>
    <s v="Ctrl"/>
    <s v="forward"/>
    <s v="RanJ"/>
    <s v="ToEmp"/>
    <x v="39"/>
    <n v="33541.86"/>
    <b v="1"/>
    <n v="-33541.86"/>
    <x v="1"/>
    <s v="Liability"/>
    <x v="1"/>
    <s v="Other"/>
    <s v="Non-Op"/>
    <x v="1"/>
    <x v="9"/>
    <x v="13"/>
  </r>
  <r>
    <s v="T0000"/>
    <d v="2025-12-31T00:00:00"/>
    <s v="Ctrl"/>
    <s v="forward"/>
    <s v="YuLe"/>
    <s v="ToTax"/>
    <x v="38"/>
    <n v="42232.84"/>
    <b v="1"/>
    <n v="-42232.84"/>
    <x v="1"/>
    <s v="Liability"/>
    <x v="1"/>
    <s v="Other"/>
    <s v="Non-Op"/>
    <x v="1"/>
    <x v="8"/>
    <x v="4"/>
  </r>
  <r>
    <s v="T0000"/>
    <d v="2025-12-31T00:00:00"/>
    <s v="Ctrl"/>
    <s v="forward"/>
    <s v="YuLe"/>
    <s v="ToEmp"/>
    <x v="39"/>
    <n v="76031.259999999995"/>
    <b v="1"/>
    <n v="-76031.259999999995"/>
    <x v="1"/>
    <s v="Liability"/>
    <x v="1"/>
    <s v="Other"/>
    <s v="Non-Op"/>
    <x v="1"/>
    <x v="9"/>
    <x v="4"/>
  </r>
  <r>
    <s v="T0000"/>
    <d v="2025-12-31T00:00:00"/>
    <s v="Ctrl"/>
    <s v="forward"/>
    <s v="SangMu"/>
    <s v="ToTax"/>
    <x v="38"/>
    <n v="77772.66"/>
    <b v="1"/>
    <n v="-77772.66"/>
    <x v="1"/>
    <s v="Liability"/>
    <x v="1"/>
    <s v="Other"/>
    <s v="Non-Op"/>
    <x v="1"/>
    <x v="8"/>
    <x v="3"/>
  </r>
  <r>
    <s v="T0000"/>
    <d v="2025-12-31T00:00:00"/>
    <s v="Ctrl"/>
    <s v="forward"/>
    <s v="SangMu"/>
    <s v="ToEmp"/>
    <x v="39"/>
    <n v="18440"/>
    <b v="1"/>
    <n v="-18440"/>
    <x v="1"/>
    <s v="Liability"/>
    <x v="1"/>
    <s v="Other"/>
    <s v="Non-Op"/>
    <x v="1"/>
    <x v="9"/>
    <x v="3"/>
  </r>
  <r>
    <s v="T0000"/>
    <d v="2025-12-31T00:00:00"/>
    <s v="Ctrl"/>
    <s v="forward"/>
    <s v="MiXiaoYi"/>
    <s v="ToTax"/>
    <x v="38"/>
    <n v="30461.37"/>
    <b v="1"/>
    <n v="-30461.37"/>
    <x v="1"/>
    <s v="Liability"/>
    <x v="1"/>
    <s v="Other"/>
    <s v="Non-Op"/>
    <x v="1"/>
    <x v="8"/>
    <x v="7"/>
  </r>
  <r>
    <s v="T0000"/>
    <d v="2025-12-31T00:00:00"/>
    <s v="Ctrl"/>
    <s v="forward"/>
    <s v="MiXiaoYi"/>
    <s v="ToEmp"/>
    <x v="39"/>
    <n v="156507.97"/>
    <b v="1"/>
    <n v="-156507.97"/>
    <x v="1"/>
    <s v="Liability"/>
    <x v="1"/>
    <s v="Other"/>
    <s v="Non-Op"/>
    <x v="1"/>
    <x v="9"/>
    <x v="7"/>
  </r>
  <r>
    <s v="T0000"/>
    <d v="2025-12-31T00:00:00"/>
    <s v="Ctrl"/>
    <s v="forward"/>
    <s v="MiXiaoYi"/>
    <s v="ToOther"/>
    <x v="40"/>
    <n v="50507.19"/>
    <b v="1"/>
    <n v="-50507.19"/>
    <x v="1"/>
    <s v="Liability"/>
    <x v="1"/>
    <s v="Other"/>
    <s v="Non-Op"/>
    <x v="1"/>
    <x v="10"/>
    <x v="7"/>
  </r>
  <r>
    <s v="T0000"/>
    <d v="2025-12-31T00:00:00"/>
    <s v="Ctrl"/>
    <s v="forward"/>
    <s v="YuanWH"/>
    <s v="ToTax"/>
    <x v="38"/>
    <n v="12351.18"/>
    <b v="1"/>
    <n v="-12351.18"/>
    <x v="1"/>
    <s v="Liability"/>
    <x v="1"/>
    <s v="Other"/>
    <s v="Non-Op"/>
    <x v="1"/>
    <x v="8"/>
    <x v="8"/>
  </r>
  <r>
    <s v="T0000"/>
    <d v="2025-12-31T00:00:00"/>
    <s v="Ctrl"/>
    <s v="forward"/>
    <s v="YuanWH"/>
    <s v="ToEmp"/>
    <x v="39"/>
    <n v="112127.37"/>
    <b v="1"/>
    <n v="-112127.37"/>
    <x v="1"/>
    <s v="Liability"/>
    <x v="1"/>
    <s v="Other"/>
    <s v="Non-Op"/>
    <x v="1"/>
    <x v="9"/>
    <x v="8"/>
  </r>
  <r>
    <s v="T0000"/>
    <d v="2025-12-31T00:00:00"/>
    <s v="Ctrl"/>
    <s v="forward"/>
    <s v="YuanWH"/>
    <s v="ToOther"/>
    <x v="41"/>
    <n v="389468.04000000004"/>
    <b v="1"/>
    <n v="-389468.04000000004"/>
    <x v="1"/>
    <s v="Liability"/>
    <x v="1"/>
    <s v="Other"/>
    <s v="Non-Op"/>
    <x v="1"/>
    <x v="10"/>
    <x v="8"/>
  </r>
  <r>
    <s v="T0000"/>
    <d v="2025-12-31T00:00:00"/>
    <s v="Ctrl"/>
    <s v="forward"/>
    <s v="YuanWH"/>
    <s v="ToOther"/>
    <x v="23"/>
    <n v="5997.5"/>
    <b v="1"/>
    <n v="-5997.5"/>
    <x v="1"/>
    <s v="Liability"/>
    <x v="1"/>
    <s v="Other"/>
    <s v="Non-Op"/>
    <x v="1"/>
    <x v="10"/>
    <x v="8"/>
  </r>
  <r>
    <s v="T0000"/>
    <d v="2025-12-31T00:00:00"/>
    <s v="Ctrl"/>
    <s v="forward"/>
    <s v="YuanWH"/>
    <s v="AP"/>
    <x v="26"/>
    <n v="25551.3"/>
    <b v="1"/>
    <n v="-25551.3"/>
    <x v="1"/>
    <s v="Liability"/>
    <x v="1"/>
    <s v="Other"/>
    <s v="Non-Op"/>
    <x v="1"/>
    <x v="7"/>
    <x v="8"/>
  </r>
  <r>
    <s v="T0000"/>
    <d v="2025-12-31T00:00:00"/>
    <s v="Ctrl"/>
    <s v="forward"/>
    <s v="YuanWH"/>
    <s v="APIC"/>
    <x v="42"/>
    <n v="14402045"/>
    <b v="1"/>
    <n v="-14402045"/>
    <x v="1"/>
    <s v="Equity"/>
    <x v="6"/>
    <s v="Other"/>
    <s v="Non-Op"/>
    <x v="6"/>
    <x v="11"/>
    <x v="8"/>
  </r>
  <r>
    <s v="T0000"/>
    <d v="2025-12-31T00:00:00"/>
    <s v="Ctrl"/>
    <s v="forward"/>
    <s v="XiJia"/>
    <s v="Common"/>
    <x v="43"/>
    <n v="25036191"/>
    <b v="1"/>
    <n v="-25036191"/>
    <x v="1"/>
    <s v="Equity"/>
    <x v="6"/>
    <s v="Other"/>
    <s v="Non-Op"/>
    <x v="6"/>
    <x v="12"/>
    <x v="5"/>
  </r>
  <r>
    <s v="T0000"/>
    <d v="2025-12-31T00:00:00"/>
    <s v="Ctrl"/>
    <s v="forward"/>
    <s v="XiJia"/>
    <s v="RE"/>
    <x v="44"/>
    <n v="7657356.6349999905"/>
    <b v="1"/>
    <n v="-7657356.6349999905"/>
    <x v="1"/>
    <s v="Equity"/>
    <x v="7"/>
    <s v="Other"/>
    <s v="Non-Op"/>
    <x v="7"/>
    <x v="1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6B7771-E2BB-4B00-A506-AF7420A21A62}" name="PivotTable2" cacheId="191" applyNumberFormats="0" applyBorderFormats="0" applyFontFormats="0" applyPatternFormats="0" applyAlignmentFormats="0" applyWidthHeightFormats="1" dataCaption="Values" updatedVersion="8" minRefreshableVersion="3" colGrandTotals="0" itemPrintTitles="1" mergeItem="1" createdVersion="8" indent="0" outline="1" outlineData="1" multipleFieldFilters="0">
  <location ref="A1:E29" firstHeaderRow="1" firstDataRow="3" firstDataCol="1"/>
  <pivotFields count="18">
    <pivotField showAll="0"/>
    <pivotField numFmtId="164" showAll="0"/>
    <pivotField showAll="0"/>
    <pivotField showAll="0"/>
    <pivotField showAll="0"/>
    <pivotField showAll="0"/>
    <pivotField axis="axisRow" showAll="0">
      <items count="67">
        <item m="1" x="58"/>
        <item x="10"/>
        <item x="6"/>
        <item x="8"/>
        <item x="2"/>
        <item x="17"/>
        <item x="0"/>
        <item x="19"/>
        <item x="5"/>
        <item x="7"/>
        <item x="4"/>
        <item x="13"/>
        <item x="9"/>
        <item x="1"/>
        <item x="20"/>
        <item x="3"/>
        <item x="11"/>
        <item x="15"/>
        <item x="12"/>
        <item x="16"/>
        <item m="1" x="59"/>
        <item x="14"/>
        <item m="1" x="65"/>
        <item m="1" x="48"/>
        <item m="1" x="49"/>
        <item m="1" x="46"/>
        <item m="1" x="47"/>
        <item m="1" x="60"/>
        <item m="1" x="61"/>
        <item m="1" x="62"/>
        <item m="1" x="57"/>
        <item x="44"/>
        <item m="1" x="64"/>
        <item m="1" x="63"/>
        <item x="18"/>
        <item x="21"/>
        <item x="22"/>
        <item x="23"/>
        <item x="24"/>
        <item x="25"/>
        <item x="26"/>
        <item x="27"/>
        <item x="28"/>
        <item m="1" x="50"/>
        <item x="36"/>
        <item x="37"/>
        <item x="38"/>
        <item x="39"/>
        <item x="40"/>
        <item x="41"/>
        <item x="42"/>
        <item x="43"/>
        <item m="1" x="51"/>
        <item m="1" x="52"/>
        <item m="1" x="53"/>
        <item m="1" x="54"/>
        <item m="1" x="55"/>
        <item m="1" x="56"/>
        <item x="29"/>
        <item x="30"/>
        <item x="31"/>
        <item m="1" x="45"/>
        <item x="33"/>
        <item x="32"/>
        <item x="34"/>
        <item x="35"/>
        <item t="default"/>
      </items>
    </pivotField>
    <pivotField dataField="1" numFmtId="40" showAll="0"/>
    <pivotField showAll="0"/>
    <pivotField numFmtId="38" showAll="0"/>
    <pivotField axis="axisCol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axis="axisRow" showAll="0" sortType="ascending">
      <items count="10">
        <item x="0"/>
        <item x="1"/>
        <item x="2"/>
        <item x="3"/>
        <item x="4"/>
        <item x="5"/>
        <item x="7"/>
        <item x="6"/>
        <item m="1" x="8"/>
        <item t="default"/>
      </items>
    </pivotField>
    <pivotField axis="axisRow" showAll="0">
      <items count="17">
        <item sd="0" x="11"/>
        <item sd="0" x="12"/>
        <item sd="0" x="13"/>
        <item sd="0" x="7"/>
        <item sd="0" x="9"/>
        <item sd="0" x="10"/>
        <item sd="0" x="8"/>
        <item sd="0" m="1" x="15"/>
        <item sd="0" x="2"/>
        <item sd="0" m="1" x="14"/>
        <item x="4"/>
        <item sd="0" x="5"/>
        <item sd="0" x="6"/>
        <item sd="0" x="0"/>
        <item sd="0" x="1"/>
        <item sd="0" x="3"/>
        <item t="default" sd="0"/>
      </items>
    </pivotField>
    <pivotField showAll="0"/>
  </pivotFields>
  <rowFields count="3">
    <field x="15"/>
    <field x="16"/>
    <field x="6"/>
  </rowFields>
  <rowItems count="26">
    <i>
      <x/>
    </i>
    <i r="1">
      <x v="13"/>
    </i>
    <i r="1">
      <x v="14"/>
    </i>
    <i>
      <x v="1"/>
    </i>
    <i r="1">
      <x v="3"/>
    </i>
    <i r="1">
      <x v="4"/>
    </i>
    <i r="1">
      <x v="5"/>
    </i>
    <i r="1">
      <x v="6"/>
    </i>
    <i r="1">
      <x v="8"/>
    </i>
    <i>
      <x v="2"/>
    </i>
    <i r="1">
      <x v="15"/>
    </i>
    <i>
      <x v="3"/>
    </i>
    <i r="1">
      <x v="10"/>
    </i>
    <i r="2">
      <x v="58"/>
    </i>
    <i r="2">
      <x v="59"/>
    </i>
    <i r="2">
      <x v="60"/>
    </i>
    <i>
      <x v="4"/>
    </i>
    <i r="1">
      <x v="11"/>
    </i>
    <i>
      <x v="5"/>
    </i>
    <i r="1">
      <x v="12"/>
    </i>
    <i>
      <x v="6"/>
    </i>
    <i r="1">
      <x v="2"/>
    </i>
    <i>
      <x v="7"/>
    </i>
    <i r="1">
      <x/>
    </i>
    <i r="1">
      <x v="1"/>
    </i>
    <i t="grand">
      <x/>
    </i>
  </rowItems>
  <colFields count="2">
    <field x="10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Sum of Bal" fld="7" baseField="0" baseItem="0" numFmtId="38"/>
    <dataField name="perc" fld="7" showDataAs="percentOfCol" baseField="16" baseItem="3" numFmtId="10"/>
  </dataFields>
  <formats count="4">
    <format dxfId="174">
      <pivotArea outline="0" collapsedLevelsAreSubtotals="1" fieldPosition="0"/>
    </format>
    <format dxfId="163">
      <pivotArea outline="0" fieldPosition="0">
        <references count="1">
          <reference field="4294967294" count="1">
            <x v="1"/>
          </reference>
        </references>
      </pivotArea>
    </format>
    <format dxfId="160">
      <pivotArea outline="0" collapsedLevelsAreSubtotals="1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format>
    <format dxfId="158">
      <pivotArea outline="0" collapsedLevelsAreSubtotals="1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format>
  </formats>
  <conditionalFormats count="1">
    <conditionalFormat priority="1">
      <pivotAreas count="2">
        <pivotArea type="data" outline="0" collapsedLevelsAreSubtotals="1" fieldPosition="0">
          <references count="2">
            <reference field="4294967294" count="1" selected="0">
              <x v="1"/>
            </reference>
            <reference field="10" count="1" selected="0">
              <x v="0"/>
            </reference>
          </references>
        </pivotArea>
        <pivotArea type="data" outline="0" collapsedLevelsAreSubtotals="1" fieldPosition="0">
          <references count="2">
            <reference field="4294967294" count="1" selected="0">
              <x v="1"/>
            </reference>
            <reference field="10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C8F44-51F0-4988-B901-F73D54ED6F2F}" name="PivotTable1" cacheId="191" applyNumberFormats="0" applyBorderFormats="0" applyFontFormats="0" applyPatternFormats="0" applyAlignmentFormats="0" applyWidthHeightFormats="1" dataCaption="Values" updatedVersion="8" minRefreshableVersion="3" itemPrintTitles="1" mergeItem="1" createdVersion="8" indent="0" compact="0" compactData="0" gridDropZones="1" multipleFieldFilters="0">
  <location ref="A3:D27" firstHeaderRow="1" firstDataRow="2" firstDataCol="2" rowPageCount="1" colPageCount="1"/>
  <pivotFields count="18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66">
        <item m="1" x="58"/>
        <item x="10"/>
        <item x="6"/>
        <item x="8"/>
        <item x="2"/>
        <item x="17"/>
        <item x="0"/>
        <item x="19"/>
        <item x="5"/>
        <item x="7"/>
        <item x="4"/>
        <item x="13"/>
        <item x="9"/>
        <item x="1"/>
        <item x="20"/>
        <item x="3"/>
        <item x="11"/>
        <item x="15"/>
        <item x="12"/>
        <item x="16"/>
        <item x="14"/>
        <item m="1" x="59"/>
        <item m="1" x="65"/>
        <item m="1" x="48"/>
        <item m="1" x="49"/>
        <item m="1" x="46"/>
        <item m="1" x="47"/>
        <item m="1" x="60"/>
        <item m="1" x="61"/>
        <item m="1" x="62"/>
        <item m="1" x="57"/>
        <item x="44"/>
        <item m="1" x="64"/>
        <item m="1" x="63"/>
        <item x="18"/>
        <item x="21"/>
        <item x="22"/>
        <item x="23"/>
        <item x="24"/>
        <item x="25"/>
        <item x="26"/>
        <item x="27"/>
        <item x="28"/>
        <item m="1" x="50"/>
        <item x="36"/>
        <item x="37"/>
        <item x="38"/>
        <item x="39"/>
        <item x="40"/>
        <item x="41"/>
        <item x="42"/>
        <item x="43"/>
        <item m="1" x="51"/>
        <item m="1" x="52"/>
        <item m="1" x="53"/>
        <item m="1" x="54"/>
        <item m="1" x="55"/>
        <item m="1" x="56"/>
        <item x="29"/>
        <item x="30"/>
        <item x="31"/>
        <item m="1" x="45"/>
        <item x="33"/>
        <item x="32"/>
        <item x="34"/>
        <item x="3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40" outline="0" showAll="0"/>
    <pivotField compact="0" outline="0" showAll="0"/>
    <pivotField compact="0" numFmtId="38" outline="0" showAll="0"/>
    <pivotField compact="0" outline="0" showAll="0"/>
    <pivotField compact="0" outline="0" showAll="0"/>
    <pivotField axis="axisPage" compact="0" outline="0" showAll="0">
      <items count="15">
        <item x="0"/>
        <item m="1" x="10"/>
        <item m="1" x="11"/>
        <item m="1" x="12"/>
        <item m="1" x="13"/>
        <item x="1"/>
        <item x="2"/>
        <item x="3"/>
        <item x="4"/>
        <item x="6"/>
        <item m="1" x="9"/>
        <item x="7"/>
        <item m="1" x="8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4">
        <item x="5"/>
        <item x="2"/>
        <item x="1"/>
        <item x="11"/>
        <item x="10"/>
        <item x="13"/>
        <item x="3"/>
        <item x="4"/>
        <item x="7"/>
        <item x="8"/>
        <item x="9"/>
        <item x="0"/>
        <item x="6"/>
        <item x="12"/>
      </items>
    </pivotField>
  </pivotFields>
  <rowFields count="2">
    <field x="6"/>
    <field x="17"/>
  </rowFields>
  <rowItems count="23">
    <i>
      <x v="10"/>
      <x v="7"/>
    </i>
    <i>
      <x v="6"/>
      <x v="11"/>
    </i>
    <i>
      <x v="15"/>
      <x v="6"/>
    </i>
    <i>
      <x v="12"/>
      <x v="8"/>
    </i>
    <i>
      <x v="8"/>
      <x/>
    </i>
    <i>
      <x v="7"/>
      <x v="5"/>
    </i>
    <i>
      <x v="13"/>
      <x v="2"/>
    </i>
    <i>
      <x v="20"/>
      <x v="3"/>
    </i>
    <i r="1">
      <x v="4"/>
    </i>
    <i>
      <x v="16"/>
      <x v="9"/>
    </i>
    <i>
      <x v="11"/>
      <x v="4"/>
    </i>
    <i>
      <x v="9"/>
      <x v="12"/>
    </i>
    <i>
      <x v="17"/>
      <x v="13"/>
    </i>
    <i>
      <x v="4"/>
      <x v="1"/>
    </i>
    <i>
      <x v="2"/>
      <x/>
    </i>
    <i>
      <x v="18"/>
      <x v="10"/>
    </i>
    <i>
      <x v="34"/>
      <x v="10"/>
    </i>
    <i>
      <x v="14"/>
      <x v="5"/>
    </i>
    <i>
      <x v="19"/>
      <x v="9"/>
    </i>
    <i>
      <x v="3"/>
      <x/>
    </i>
    <i>
      <x v="1"/>
      <x/>
    </i>
    <i>
      <x v="5"/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12" item="0" hier="-1"/>
  </pageFields>
  <dataFields count="2">
    <dataField name="Sum of Bal" fld="7" baseField="0" baseItem="0" numFmtId="40"/>
    <dataField name="perc" fld="7" showDataAs="percentOfCol" baseField="5" baseItem="0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209837-6C83-4BBC-9E05-466D8E45337D}" name="Trx" displayName="Trx" ref="A1:F2" totalsRowShown="0" headerRowDxfId="185">
  <autoFilter ref="A1:F2" xr:uid="{07209837-6C83-4BBC-9E05-466D8E45337D}"/>
  <tableColumns count="6">
    <tableColumn id="1" xr3:uid="{F105BBBA-07BE-48EE-817A-250E3814BDFC}" name="Id"/>
    <tableColumn id="2" xr3:uid="{90198A57-84E0-4FF2-A6FA-AA81A96E49BD}" name="Date" dataDxfId="184"/>
    <tableColumn id="3" xr3:uid="{231C793D-9C6F-4B89-BC6D-1DCF5630A11C}" name="Division"/>
    <tableColumn id="4" xr3:uid="{1B3E9F40-C03A-4F2E-9F41-F9C4897D65AE}" name="Action"/>
    <tableColumn id="5" xr3:uid="{AC6C4E64-35C5-42B2-9EEB-564E7390898A}" name="IncNode"/>
    <tableColumn id="6" xr3:uid="{8226D3E3-BBA5-4E7C-9525-8B6205AB704A}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3E67F7-A626-4EB3-9931-2B8E4332E50D}" name="Jnl" displayName="Jnl" ref="A1:R80" totalsRowShown="0" headerRowDxfId="183">
  <autoFilter ref="A1:R80" xr:uid="{783E67F7-A626-4EB3-9931-2B8E4332E50D}"/>
  <tableColumns count="18">
    <tableColumn id="1" xr3:uid="{71B2C84B-D5B0-48D0-AF75-7AA4E674435E}" name="TrxId"/>
    <tableColumn id="2" xr3:uid="{7F3BB002-49F0-4622-91C3-EDE1BB39E037}" name="TrxDate" dataDxfId="182">
      <calculatedColumnFormula>_xlfn.XLOOKUP(Jnl[[#This Row],[TrxId]], Trx[Id], Trx[Date],,0)</calculatedColumnFormula>
    </tableColumn>
    <tableColumn id="3" xr3:uid="{5019CCD8-C251-41B8-8C65-1CECE1FEB799}" name="Division" dataDxfId="181">
      <calculatedColumnFormula>_xlfn.XLOOKUP(Jnl[[#This Row],[TrxId]], Trx[Id], Trx[Division],,0)</calculatedColumnFormula>
    </tableColumn>
    <tableColumn id="4" xr3:uid="{E7CB1B45-6F0A-4E0A-A77F-E495B0819870}" name="Action" dataDxfId="180">
      <calculatedColumnFormula>_xlfn.XLOOKUP(Jnl[[#This Row],[TrxId]], Trx[Id], Trx[Action],,0)</calculatedColumnFormula>
    </tableColumn>
    <tableColumn id="15" xr3:uid="{0610E7A0-7523-45EB-923A-5338328D8C72}" name="Vehicle" dataDxfId="179"/>
    <tableColumn id="5" xr3:uid="{88A5FA68-A048-4D06-AB82-9CA2F2E65F13}" name="Acct"/>
    <tableColumn id="6" xr3:uid="{8AFDC351-60CD-4DB0-A113-1B63BA458362}" name="Item" dataDxfId="178"/>
    <tableColumn id="7" xr3:uid="{FB5E3CB7-3053-4DE8-9454-AD102CDEA2EE}" name="Bal" dataDxfId="177"/>
    <tableColumn id="9" xr3:uid="{474871EF-24BE-4230-A2C9-7BD22A94BE52}" name="IsValid" dataDxfId="176">
      <calculatedColumnFormula>AND(Jnl[[#This Row],[TrxId]]&lt;&gt;"",Jnl[[#This Row],[Acct]]&lt;&gt;"",Jnl[[#This Row],[Item]]&lt;&gt;"",ISNUMBER(Jnl[[#This Row],[Bal]]))</calculatedColumnFormula>
    </tableColumn>
    <tableColumn id="8" xr3:uid="{44F3569E-1FE6-44B2-B6E4-DAE85FBDB137}" name="NetBal" dataDxfId="175">
      <calculatedColumnFormula>IF(Jnl[[#This Row],[BSLv0]]="A",1,-1)*Jnl[[#This Row],[Bal]]</calculatedColumnFormula>
    </tableColumn>
    <tableColumn id="10" xr3:uid="{2360B888-54E4-4D46-BEE4-CFC178D7B87B}" name="BSLv0">
      <calculatedColumnFormula>_xlfn.XLOOKUP(Jnl[[#This Row],[Acct]], config_BS[Acct], config_BS[Lv0],,0)</calculatedColumnFormula>
    </tableColumn>
    <tableColumn id="11" xr3:uid="{4DE429D6-713F-4B78-B939-8CB7D3F66F5B}" name="BSLv1">
      <calculatedColumnFormula>_xlfn.XLOOKUP(Jnl[[#This Row],[Acct]], config_BS[Acct], config_BS[Lv1],,0)</calculatedColumnFormula>
    </tableColumn>
    <tableColumn id="12" xr3:uid="{D47F5251-8C65-46AE-88D2-CE9E13D4C60A}" name="BSLv2">
      <calculatedColumnFormula>_xlfn.XLOOKUP(Jnl[[#This Row],[Acct]], config_BS[Acct], config_BS[Lv2],,0)</calculatedColumnFormula>
    </tableColumn>
    <tableColumn id="13" xr3:uid="{8BD86E94-EA46-4F32-9B93-D798F39951B2}" name="IncNode">
      <calculatedColumnFormula>_xlfn.XLOOKUP(Jnl[[#This Row],[TrxId]], Trx[Id], Trx[IncNode], ,0)</calculatedColumnFormula>
    </tableColumn>
    <tableColumn id="14" xr3:uid="{47A3BD5E-32C9-4C87-A6B9-3A4E06DF4708}" name="IncType">
      <calculatedColumnFormula>_xlfn.XLOOKUP(Jnl[[#This Row],[IncNode]], config_IS[Node], config_IS[Type],,0)</calculatedColumnFormula>
    </tableColumn>
    <tableColumn id="17" xr3:uid="{59AE45B9-EF65-4833-AE4C-9F11B24D0D43}" name="NameBSLv2" dataDxfId="166">
      <calculatedColumnFormula>_xlfn.XLOOKUP(Jnl[[#This Row],[BSLv2]], dict[Key], dict[Name],,0)</calculatedColumnFormula>
    </tableColumn>
    <tableColumn id="16" xr3:uid="{C6BD57E2-40E3-4AC5-8465-4FC651B85CA5}" name="NameAcct" dataDxfId="167">
      <calculatedColumnFormula>_xlfn.XLOOKUP(Jnl[[#This Row],[Acct]], dict[Key], dict[Name],,0)</calculatedColumnFormula>
    </tableColumn>
    <tableColumn id="18" xr3:uid="{C4A7C1EE-FFA2-4B8A-966B-288D5A8071DA}" name="NameVehicle" dataDxfId="40">
      <calculatedColumnFormula>_xlfn.XLOOKUP(Jnl[[#This Row],[Vehicle]],config_vehicle[Id], config_vehicle[Name],,0)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10FA55-B813-4EE9-940D-CEF2A6B4B916}" name="config_BS" displayName="config_BS" ref="E1:H16" totalsRowShown="0" headerRowDxfId="173">
  <autoFilter ref="E1:H16" xr:uid="{D710FA55-B813-4EE9-940D-CEF2A6B4B916}"/>
  <tableColumns count="4">
    <tableColumn id="1" xr3:uid="{7EA695D1-870E-4C08-9342-BF09B98EA310}" name="Acct"/>
    <tableColumn id="2" xr3:uid="{4785D38E-57FF-472D-BE2B-62F7C8A8ED1D}" name="Lv2"/>
    <tableColumn id="3" xr3:uid="{7460FDAD-9A94-406A-990F-CA16E4C2EE37}" name="Lv1"/>
    <tableColumn id="4" xr3:uid="{E4BB113B-98C5-4CEB-B566-D92BDD17941C}" name="Lv0" dataDxfId="172">
      <calculatedColumnFormula>IF(config_BS[[#This Row],[Lv1]]="Assets", "A","LC")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E118F9-B6DA-4BA1-A5F8-AD7436D892BF}" name="config_IS" displayName="config_IS" ref="J1:K7" totalsRowShown="0" headerRowDxfId="171">
  <autoFilter ref="J1:K7" xr:uid="{07E118F9-B6DA-4BA1-A5F8-AD7436D892BF}"/>
  <tableColumns count="2">
    <tableColumn id="1" xr3:uid="{86CD6291-3219-4E28-96CE-EB8E9F1ADA73}" name="Node"/>
    <tableColumn id="2" xr3:uid="{56CE1806-3C50-410C-9568-35AE61893952}" name="Type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331B0E-5F28-455D-81F4-B5C75AC8F63C}" name="config_div" displayName="config_div" ref="M1:N7" totalsRowShown="0" headerRowDxfId="170">
  <autoFilter ref="M1:N7" xr:uid="{97331B0E-5F28-455D-81F4-B5C75AC8F63C}"/>
  <tableColumns count="2">
    <tableColumn id="1" xr3:uid="{4A0976A9-F08D-4FC3-AC46-D492AA68F7E6}" name="Id"/>
    <tableColumn id="2" xr3:uid="{67A75125-5098-44A5-B004-8A9ADBEBCBC2}" name="Note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C21B85-0121-4FEF-8DDD-28E68900BCF7}" name="config_vehicle" displayName="config_vehicle" ref="P1:S16" totalsRowShown="0" headerRowDxfId="169">
  <autoFilter ref="P1:S16" xr:uid="{FAC21B85-0121-4FEF-8DDD-28E68900BCF7}"/>
  <tableColumns count="4">
    <tableColumn id="1" xr3:uid="{D098E912-7511-4647-9CD5-C7C1669169C3}" name="Id"/>
    <tableColumn id="2" xr3:uid="{974E95FB-0778-4F98-B419-06742B044B50}" name="Type"/>
    <tableColumn id="3" xr3:uid="{91DEC52D-D61E-4133-9B24-99F150E12AB2}" name="Name"/>
    <tableColumn id="4" xr3:uid="{A1019716-CAC5-42E2-9C0F-1C7CC15D42B6}" name="Note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685134C-CD11-493E-AB79-5F297888CCE6}" name="dict" displayName="dict" ref="A1:C24" totalsRowShown="0" headerRowDxfId="168">
  <autoFilter ref="A1:C24" xr:uid="{8685134C-CD11-493E-AB79-5F297888CCE6}"/>
  <tableColumns count="3">
    <tableColumn id="1" xr3:uid="{E5A0AD05-34DE-4725-99E6-CE7AC7B8B5EA}" name="Key"/>
    <tableColumn id="2" xr3:uid="{A2DB06A5-0227-401C-AAF2-C0379C66B63D}" name="Name"/>
    <tableColumn id="3" xr3:uid="{81FCB9D4-DC28-4310-A11A-2DB14301A0A7}" name="Cas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1-29T02:57:36.48" personId="{D5AF6952-DFB4-4EB9-91BF-DCBDFE03949B}" id="{734D34D1-A3B4-419C-91E5-2415CC7E1FF7}">
    <text>载体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2" dT="2026-01-29T02:48:58.36" personId="{D5AF6952-DFB4-4EB9-91BF-DCBDFE03949B}" id="{E68F4AA3-3D0A-4E51-9DB5-71D163687642}">
    <text xml:space="preserve">Operating经营性经常事件 </text>
  </threadedComment>
  <threadedComment ref="F4" dT="2026-01-31T03:00:24.32" personId="{5762D9ED-58C9-4E54-8B3E-500022F66094}" id="{60652D12-341E-458F-9404-85AE92F8BD45}">
    <text>Receivables and Payables 应付 应收</text>
  </threadedComment>
  <threadedComment ref="J5" dT="2026-01-29T03:22:53.83" personId="{D5AF6952-DFB4-4EB9-91BF-DCBDFE03949B}" id="{5D615C4E-EBE7-4C5B-AFF7-7BFD865942AD}">
    <text>资产处置损益</text>
  </threadedComment>
  <threadedComment ref="F6" dT="2026-01-29T02:41:32.49" personId="{D5AF6952-DFB4-4EB9-91BF-DCBDFE03949B}" id="{AF69EBA6-49A2-4E66-B2B5-ADDCB203CBBC}">
    <text>Inventories</text>
  </threadedComment>
  <threadedComment ref="J6" dT="2026-01-29T03:23:31.07" personId="{D5AF6952-DFB4-4EB9-91BF-DCBDFE03949B}" id="{1AB846D4-C243-49DD-BFCE-0F152034E39C}">
    <text>自主活动损益 （类似 诗与歌 这样的活动）</text>
  </threadedComment>
  <threadedComment ref="F14" dT="2026-01-29T02:38:42.71" personId="{D5AF6952-DFB4-4EB9-91BF-DCBDFE03949B}" id="{89049742-F5D2-410B-B198-12AF77C32560}">
    <text>Reserve 准备金</text>
  </threadedComment>
  <threadedComment ref="E15" dT="2026-01-29T02:18:08.23" personId="{D5AF6952-DFB4-4EB9-91BF-DCBDFE03949B}" id="{8D1C1E60-2EA0-4CC8-8F9F-A8A7E37ADBA1}">
    <text xml:space="preserve">Additional Paid-In Capital </text>
  </threadedComment>
  <threadedComment ref="E15" dT="2026-01-31T03:01:08.25" personId="{5762D9ED-58C9-4E54-8B3E-500022F66094}" id="{9E8D9125-D17F-41F2-BC54-4C5F82000D86}" parentId="{8D1C1E60-2EA0-4CC8-8F9F-A8A7E37ADBA1}">
    <text>差不多是 资本公积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microsoft.com/office/2017/10/relationships/threadedComment" Target="../threadedComments/threadedComment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Relationship Id="rId6" Type="http://schemas.openxmlformats.org/officeDocument/2006/relationships/comments" Target="../comments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C9BAA-A65D-4107-9786-832CAE980D1B}">
  <sheetPr codeName="Sheet2">
    <tabColor theme="4" tint="0.39997558519241921"/>
  </sheetPr>
  <dimension ref="A1:F2"/>
  <sheetViews>
    <sheetView zoomScale="120" zoomScaleNormal="120" workbookViewId="0">
      <pane ySplit="1" topLeftCell="A2" activePane="bottomLeft" state="frozen"/>
      <selection pane="bottomLeft" activeCell="E23" sqref="E23"/>
    </sheetView>
  </sheetViews>
  <sheetFormatPr defaultRowHeight="15"/>
  <cols>
    <col min="1" max="1" width="9.5703125" customWidth="1"/>
    <col min="2" max="2" width="9.7109375" style="32" customWidth="1"/>
    <col min="3" max="3" width="11.7109375" customWidth="1"/>
    <col min="4" max="4" width="13.42578125" customWidth="1"/>
    <col min="5" max="5" width="14.28515625" customWidth="1"/>
    <col min="6" max="6" width="37" customWidth="1"/>
    <col min="7" max="7" width="28.5703125" customWidth="1"/>
  </cols>
  <sheetData>
    <row r="1" spans="1:6">
      <c r="A1" s="5" t="s">
        <v>30</v>
      </c>
      <c r="B1" s="31" t="s">
        <v>43</v>
      </c>
      <c r="C1" s="5" t="s">
        <v>44</v>
      </c>
      <c r="D1" s="5" t="s">
        <v>45</v>
      </c>
      <c r="E1" s="5" t="s">
        <v>46</v>
      </c>
      <c r="F1" s="5" t="s">
        <v>36</v>
      </c>
    </row>
    <row r="2" spans="1:6">
      <c r="A2" t="s">
        <v>173</v>
      </c>
      <c r="B2" s="32">
        <v>46022</v>
      </c>
      <c r="C2" t="s">
        <v>41</v>
      </c>
      <c r="D2" t="s">
        <v>47</v>
      </c>
      <c r="E2" t="s">
        <v>27</v>
      </c>
    </row>
  </sheetData>
  <phoneticPr fontId="5" type="noConversion"/>
  <dataValidations count="2">
    <dataValidation type="list" allowBlank="1" showInputMessage="1" showErrorMessage="1" sqref="E2" xr:uid="{50238286-9FDA-4270-A137-4DEDC07F7916}">
      <formula1>INDIRECT("config_IS[Node]")</formula1>
    </dataValidation>
    <dataValidation type="list" allowBlank="1" showInputMessage="1" showErrorMessage="1" sqref="C2" xr:uid="{2A9839A0-BEAC-420B-BAC2-7B57A3D95195}">
      <formula1>INDIRECT("config_div[Id]")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0F9EA-B3A0-459C-94FC-994ACB80C5A6}">
  <sheetPr codeName="Sheet3">
    <tabColor theme="4" tint="0.39997558519241921"/>
  </sheetPr>
  <dimension ref="A1:R80"/>
  <sheetViews>
    <sheetView zoomScaleNormal="100" workbookViewId="0">
      <pane ySplit="1" topLeftCell="A40" activePane="bottomLeft" state="frozen"/>
      <selection pane="bottomLeft" activeCell="G78" sqref="G78"/>
    </sheetView>
  </sheetViews>
  <sheetFormatPr defaultRowHeight="15"/>
  <cols>
    <col min="1" max="1" width="7.28515625" customWidth="1"/>
    <col min="2" max="2" width="9.7109375" customWidth="1"/>
    <col min="3" max="3" width="7.28515625" customWidth="1"/>
    <col min="4" max="4" width="12.28515625" customWidth="1"/>
    <col min="5" max="5" width="10.42578125" customWidth="1"/>
    <col min="6" max="6" width="12" bestFit="1" customWidth="1"/>
    <col min="7" max="7" width="18.42578125" customWidth="1"/>
    <col min="8" max="8" width="15.85546875" customWidth="1"/>
    <col min="9" max="9" width="9.5703125" customWidth="1"/>
    <col min="10" max="10" width="13.140625" customWidth="1"/>
    <col min="11" max="14" width="12.28515625" customWidth="1"/>
    <col min="15" max="15" width="12.42578125" bestFit="1" customWidth="1"/>
    <col min="16" max="16" width="14.28515625" customWidth="1"/>
    <col min="17" max="17" width="15.85546875" bestFit="1" customWidth="1"/>
    <col min="18" max="18" width="20.5703125" bestFit="1" customWidth="1"/>
  </cols>
  <sheetData>
    <row r="1" spans="1:18">
      <c r="A1" s="5" t="s">
        <v>48</v>
      </c>
      <c r="B1" s="5" t="s">
        <v>49</v>
      </c>
      <c r="C1" s="5" t="s">
        <v>44</v>
      </c>
      <c r="D1" s="5" t="s">
        <v>45</v>
      </c>
      <c r="E1" s="5" t="s">
        <v>135</v>
      </c>
      <c r="F1" s="5" t="s">
        <v>9</v>
      </c>
      <c r="G1" s="5" t="s">
        <v>50</v>
      </c>
      <c r="H1" s="5" t="s">
        <v>51</v>
      </c>
      <c r="I1" s="5" t="s">
        <v>53</v>
      </c>
      <c r="J1" s="5" t="s">
        <v>52</v>
      </c>
      <c r="K1" s="5" t="s">
        <v>54</v>
      </c>
      <c r="L1" s="5" t="s">
        <v>55</v>
      </c>
      <c r="M1" s="5" t="s">
        <v>56</v>
      </c>
      <c r="N1" s="5" t="s">
        <v>46</v>
      </c>
      <c r="O1" s="5" t="s">
        <v>57</v>
      </c>
      <c r="P1" s="5" t="s">
        <v>213</v>
      </c>
      <c r="Q1" s="5" t="s">
        <v>212</v>
      </c>
      <c r="R1" s="5" t="s">
        <v>222</v>
      </c>
    </row>
    <row r="2" spans="1:18">
      <c r="A2" s="10" t="s">
        <v>173</v>
      </c>
      <c r="B2" s="6">
        <f>_xlfn.XLOOKUP(Jnl[[#This Row],[TrxId]], Trx[Id], Trx[Date],,0)</f>
        <v>46022</v>
      </c>
      <c r="C2" s="6" t="str">
        <f>_xlfn.XLOOKUP(Jnl[[#This Row],[TrxId]], Trx[Id], Trx[Division],,0)</f>
        <v>Ctrl</v>
      </c>
      <c r="D2" s="6" t="str">
        <f>_xlfn.XLOOKUP(Jnl[[#This Row],[TrxId]], Trx[Id], Trx[Action],,0)</f>
        <v>forward</v>
      </c>
      <c r="E2" s="6" t="s">
        <v>88</v>
      </c>
      <c r="F2" s="10" t="s">
        <v>13</v>
      </c>
      <c r="G2" s="10" t="s">
        <v>58</v>
      </c>
      <c r="H2" s="21">
        <v>1982899.24</v>
      </c>
      <c r="I2" s="4" t="b">
        <f>AND(Jnl[[#This Row],[TrxId]]&lt;&gt;"",Jnl[[#This Row],[Acct]]&lt;&gt;"",Jnl[[#This Row],[Item]]&lt;&gt;"",ISNUMBER(Jnl[[#This Row],[Bal]]))</f>
        <v>1</v>
      </c>
      <c r="J2" s="9">
        <f>IF(Jnl[[#This Row],[BSLv0]]="A",1,-1)*Jnl[[#This Row],[Bal]]</f>
        <v>1982899.24</v>
      </c>
      <c r="K2" t="str">
        <f>_xlfn.XLOOKUP(Jnl[[#This Row],[Acct]], config_BS[Acct], config_BS[Lv0],,0)</f>
        <v>A</v>
      </c>
      <c r="L2" t="str">
        <f>_xlfn.XLOOKUP(Jnl[[#This Row],[Acct]], config_BS[Acct], config_BS[Lv1],,0)</f>
        <v>Assets</v>
      </c>
      <c r="M2" t="str">
        <f>_xlfn.XLOOKUP(Jnl[[#This Row],[Acct]], config_BS[Acct], config_BS[Lv2],,0)</f>
        <v>Cash</v>
      </c>
      <c r="N2" t="str">
        <f>_xlfn.XLOOKUP(Jnl[[#This Row],[TrxId]], Trx[Id], Trx[IncNode], ,0)</f>
        <v>Other</v>
      </c>
      <c r="O2" t="str">
        <f>_xlfn.XLOOKUP(Jnl[[#This Row],[IncNode]], config_IS[Node], config_IS[Type],,0)</f>
        <v>Non-Op</v>
      </c>
      <c r="P2" t="str">
        <f>_xlfn.XLOOKUP(Jnl[[#This Row],[BSLv2]], dict[Key], dict[Name],,0)</f>
        <v>0.现金</v>
      </c>
      <c r="Q2" t="str">
        <f>_xlfn.XLOOKUP(Jnl[[#This Row],[Acct]], dict[Key], dict[Name],,0)</f>
        <v>银行</v>
      </c>
      <c r="R2" t="str">
        <f>_xlfn.XLOOKUP(Jnl[[#This Row],[Vehicle]],config_vehicle[Id], config_vehicle[Name],,0)</f>
        <v>远家花园</v>
      </c>
    </row>
    <row r="3" spans="1:18">
      <c r="A3" s="10" t="s">
        <v>173</v>
      </c>
      <c r="B3" s="6">
        <f>_xlfn.XLOOKUP(Jnl[[#This Row],[TrxId]], Trx[Id], Trx[Date],,0)</f>
        <v>46022</v>
      </c>
      <c r="C3" s="6" t="str">
        <f>_xlfn.XLOOKUP(Jnl[[#This Row],[TrxId]], Trx[Id], Trx[Division],,0)</f>
        <v>Ctrl</v>
      </c>
      <c r="D3" s="6" t="str">
        <f>_xlfn.XLOOKUP(Jnl[[#This Row],[TrxId]], Trx[Id], Trx[Action],,0)</f>
        <v>forward</v>
      </c>
      <c r="E3" s="6" t="s">
        <v>103</v>
      </c>
      <c r="F3" s="10" t="s">
        <v>13</v>
      </c>
      <c r="G3" s="10" t="s">
        <v>97</v>
      </c>
      <c r="H3" s="21">
        <v>612335.77</v>
      </c>
      <c r="I3" s="4" t="b">
        <f>AND(Jnl[[#This Row],[TrxId]]&lt;&gt;"",Jnl[[#This Row],[Acct]]&lt;&gt;"",Jnl[[#This Row],[Item]]&lt;&gt;"",ISNUMBER(Jnl[[#This Row],[Bal]]))</f>
        <v>1</v>
      </c>
      <c r="J3" s="9">
        <f>IF(Jnl[[#This Row],[BSLv0]]="A",1,-1)*Jnl[[#This Row],[Bal]]</f>
        <v>612335.77</v>
      </c>
      <c r="K3" t="str">
        <f>_xlfn.XLOOKUP(Jnl[[#This Row],[Acct]], config_BS[Acct], config_BS[Lv0],,0)</f>
        <v>A</v>
      </c>
      <c r="L3" t="str">
        <f>_xlfn.XLOOKUP(Jnl[[#This Row],[Acct]], config_BS[Acct], config_BS[Lv1],,0)</f>
        <v>Assets</v>
      </c>
      <c r="M3" t="str">
        <f>_xlfn.XLOOKUP(Jnl[[#This Row],[Acct]], config_BS[Acct], config_BS[Lv2],,0)</f>
        <v>Cash</v>
      </c>
      <c r="N3" t="str">
        <f>_xlfn.XLOOKUP(Jnl[[#This Row],[TrxId]], Trx[Id], Trx[IncNode], ,0)</f>
        <v>Other</v>
      </c>
      <c r="O3" t="str">
        <f>_xlfn.XLOOKUP(Jnl[[#This Row],[IncNode]], config_IS[Node], config_IS[Type],,0)</f>
        <v>Non-Op</v>
      </c>
      <c r="P3" t="str">
        <f>_xlfn.XLOOKUP(Jnl[[#This Row],[BSLv2]], dict[Key], dict[Name],,0)</f>
        <v>0.现金</v>
      </c>
      <c r="Q3" t="str">
        <f>_xlfn.XLOOKUP(Jnl[[#This Row],[Acct]], dict[Key], dict[Name],,0)</f>
        <v>银行</v>
      </c>
      <c r="R3" t="str">
        <f>_xlfn.XLOOKUP(Jnl[[#This Row],[Vehicle]],config_vehicle[Id], config_vehicle[Name],,0)</f>
        <v>创业园-琦</v>
      </c>
    </row>
    <row r="4" spans="1:18">
      <c r="A4" s="10" t="s">
        <v>173</v>
      </c>
      <c r="B4" s="6">
        <f>_xlfn.XLOOKUP(Jnl[[#This Row],[TrxId]], Trx[Id], Trx[Date],,0)</f>
        <v>46022</v>
      </c>
      <c r="C4" s="6" t="str">
        <f>_xlfn.XLOOKUP(Jnl[[#This Row],[TrxId]], Trx[Id], Trx[Division],,0)</f>
        <v>Ctrl</v>
      </c>
      <c r="D4" s="6" t="str">
        <f>_xlfn.XLOOKUP(Jnl[[#This Row],[TrxId]], Trx[Id], Trx[Action],,0)</f>
        <v>forward</v>
      </c>
      <c r="E4" s="6" t="s">
        <v>104</v>
      </c>
      <c r="F4" s="10" t="s">
        <v>13</v>
      </c>
      <c r="G4" s="10" t="s">
        <v>98</v>
      </c>
      <c r="H4" s="21">
        <v>30640.9</v>
      </c>
      <c r="I4" s="11" t="b">
        <f>AND(Jnl[[#This Row],[TrxId]]&lt;&gt;"",Jnl[[#This Row],[Acct]]&lt;&gt;"",Jnl[[#This Row],[Item]]&lt;&gt;"",ISNUMBER(Jnl[[#This Row],[Bal]]))</f>
        <v>1</v>
      </c>
      <c r="J4" s="9">
        <f>IF(Jnl[[#This Row],[BSLv0]]="A",1,-1)*Jnl[[#This Row],[Bal]]</f>
        <v>30640.9</v>
      </c>
      <c r="K4" t="str">
        <f>_xlfn.XLOOKUP(Jnl[[#This Row],[Acct]], config_BS[Acct], config_BS[Lv0],,0)</f>
        <v>A</v>
      </c>
      <c r="L4" t="str">
        <f>_xlfn.XLOOKUP(Jnl[[#This Row],[Acct]], config_BS[Acct], config_BS[Lv1],,0)</f>
        <v>Assets</v>
      </c>
      <c r="M4" t="str">
        <f>_xlfn.XLOOKUP(Jnl[[#This Row],[Acct]], config_BS[Acct], config_BS[Lv2],,0)</f>
        <v>Cash</v>
      </c>
      <c r="N4" t="str">
        <f>_xlfn.XLOOKUP(Jnl[[#This Row],[TrxId]], Trx[Id], Trx[IncNode], ,0)</f>
        <v>Other</v>
      </c>
      <c r="O4" t="str">
        <f>_xlfn.XLOOKUP(Jnl[[#This Row],[IncNode]], config_IS[Node], config_IS[Type],,0)</f>
        <v>Non-Op</v>
      </c>
      <c r="P4" t="str">
        <f>_xlfn.XLOOKUP(Jnl[[#This Row],[BSLv2]], dict[Key], dict[Name],,0)</f>
        <v>0.现金</v>
      </c>
      <c r="Q4" t="str">
        <f>_xlfn.XLOOKUP(Jnl[[#This Row],[Acct]], dict[Key], dict[Name],,0)</f>
        <v>银行</v>
      </c>
      <c r="R4" t="str">
        <f>_xlfn.XLOOKUP(Jnl[[#This Row],[Vehicle]],config_vehicle[Id], config_vehicle[Name],,0)</f>
        <v>创业园-晓</v>
      </c>
    </row>
    <row r="5" spans="1:18">
      <c r="A5" s="10" t="s">
        <v>173</v>
      </c>
      <c r="B5" s="6">
        <f>_xlfn.XLOOKUP(Jnl[[#This Row],[TrxId]], Trx[Id], Trx[Date],,0)</f>
        <v>46022</v>
      </c>
      <c r="C5" s="6" t="str">
        <f>_xlfn.XLOOKUP(Jnl[[#This Row],[TrxId]], Trx[Id], Trx[Division],,0)</f>
        <v>Ctrl</v>
      </c>
      <c r="D5" s="6" t="str">
        <f>_xlfn.XLOOKUP(Jnl[[#This Row],[TrxId]], Trx[Id], Trx[Action],,0)</f>
        <v>forward</v>
      </c>
      <c r="E5" s="6" t="s">
        <v>93</v>
      </c>
      <c r="F5" s="10" t="s">
        <v>13</v>
      </c>
      <c r="G5" s="10" t="s">
        <v>99</v>
      </c>
      <c r="H5" s="21">
        <v>1597158.42</v>
      </c>
      <c r="I5" s="11" t="b">
        <f>AND(Jnl[[#This Row],[TrxId]]&lt;&gt;"",Jnl[[#This Row],[Acct]]&lt;&gt;"",Jnl[[#This Row],[Item]]&lt;&gt;"",ISNUMBER(Jnl[[#This Row],[Bal]]))</f>
        <v>1</v>
      </c>
      <c r="J5" s="9">
        <f>IF(Jnl[[#This Row],[BSLv0]]="A",1,-1)*Jnl[[#This Row],[Bal]]</f>
        <v>1597158.42</v>
      </c>
      <c r="K5" t="str">
        <f>_xlfn.XLOOKUP(Jnl[[#This Row],[Acct]], config_BS[Acct], config_BS[Lv0],,0)</f>
        <v>A</v>
      </c>
      <c r="L5" t="str">
        <f>_xlfn.XLOOKUP(Jnl[[#This Row],[Acct]], config_BS[Acct], config_BS[Lv1],,0)</f>
        <v>Assets</v>
      </c>
      <c r="M5" t="str">
        <f>_xlfn.XLOOKUP(Jnl[[#This Row],[Acct]], config_BS[Acct], config_BS[Lv2],,0)</f>
        <v>Cash</v>
      </c>
      <c r="N5" t="str">
        <f>_xlfn.XLOOKUP(Jnl[[#This Row],[TrxId]], Trx[Id], Trx[IncNode], ,0)</f>
        <v>Other</v>
      </c>
      <c r="O5" t="str">
        <f>_xlfn.XLOOKUP(Jnl[[#This Row],[IncNode]], config_IS[Node], config_IS[Type],,0)</f>
        <v>Non-Op</v>
      </c>
      <c r="P5" t="str">
        <f>_xlfn.XLOOKUP(Jnl[[#This Row],[BSLv2]], dict[Key], dict[Name],,0)</f>
        <v>0.现金</v>
      </c>
      <c r="Q5" t="str">
        <f>_xlfn.XLOOKUP(Jnl[[#This Row],[Acct]], dict[Key], dict[Name],,0)</f>
        <v>银行</v>
      </c>
      <c r="R5" t="str">
        <f>_xlfn.XLOOKUP(Jnl[[#This Row],[Vehicle]],config_vehicle[Id], config_vehicle[Name],,0)</f>
        <v>桑木</v>
      </c>
    </row>
    <row r="6" spans="1:18">
      <c r="A6" s="10" t="s">
        <v>173</v>
      </c>
      <c r="B6" s="6">
        <f>_xlfn.XLOOKUP(Jnl[[#This Row],[TrxId]], Trx[Id], Trx[Date],,0)</f>
        <v>46022</v>
      </c>
      <c r="C6" s="6" t="str">
        <f>_xlfn.XLOOKUP(Jnl[[#This Row],[TrxId]], Trx[Id], Trx[Division],,0)</f>
        <v>Ctrl</v>
      </c>
      <c r="D6" s="6" t="str">
        <f>_xlfn.XLOOKUP(Jnl[[#This Row],[TrxId]], Trx[Id], Trx[Action],,0)</f>
        <v>forward</v>
      </c>
      <c r="E6" s="6" t="s">
        <v>92</v>
      </c>
      <c r="F6" s="10" t="s">
        <v>13</v>
      </c>
      <c r="G6" s="10" t="s">
        <v>100</v>
      </c>
      <c r="H6" s="21">
        <v>2759122.91</v>
      </c>
      <c r="I6" s="11" t="b">
        <f>AND(Jnl[[#This Row],[TrxId]]&lt;&gt;"",Jnl[[#This Row],[Acct]]&lt;&gt;"",Jnl[[#This Row],[Item]]&lt;&gt;"",ISNUMBER(Jnl[[#This Row],[Bal]]))</f>
        <v>1</v>
      </c>
      <c r="J6" s="9">
        <f>IF(Jnl[[#This Row],[BSLv0]]="A",1,-1)*Jnl[[#This Row],[Bal]]</f>
        <v>2759122.91</v>
      </c>
      <c r="K6" t="str">
        <f>_xlfn.XLOOKUP(Jnl[[#This Row],[Acct]], config_BS[Acct], config_BS[Lv0],,0)</f>
        <v>A</v>
      </c>
      <c r="L6" t="str">
        <f>_xlfn.XLOOKUP(Jnl[[#This Row],[Acct]], config_BS[Acct], config_BS[Lv1],,0)</f>
        <v>Assets</v>
      </c>
      <c r="M6" t="str">
        <f>_xlfn.XLOOKUP(Jnl[[#This Row],[Acct]], config_BS[Acct], config_BS[Lv2],,0)</f>
        <v>Cash</v>
      </c>
      <c r="N6" t="str">
        <f>_xlfn.XLOOKUP(Jnl[[#This Row],[TrxId]], Trx[Id], Trx[IncNode], ,0)</f>
        <v>Other</v>
      </c>
      <c r="O6" t="str">
        <f>_xlfn.XLOOKUP(Jnl[[#This Row],[IncNode]], config_IS[Node], config_IS[Type],,0)</f>
        <v>Non-Op</v>
      </c>
      <c r="P6" t="str">
        <f>_xlfn.XLOOKUP(Jnl[[#This Row],[BSLv2]], dict[Key], dict[Name],,0)</f>
        <v>0.现金</v>
      </c>
      <c r="Q6" t="str">
        <f>_xlfn.XLOOKUP(Jnl[[#This Row],[Acct]], dict[Key], dict[Name],,0)</f>
        <v>银行</v>
      </c>
      <c r="R6" t="str">
        <f>_xlfn.XLOOKUP(Jnl[[#This Row],[Vehicle]],config_vehicle[Id], config_vehicle[Name],,0)</f>
        <v>榆乐</v>
      </c>
    </row>
    <row r="7" spans="1:18">
      <c r="A7" s="10" t="s">
        <v>173</v>
      </c>
      <c r="B7" s="6">
        <f>_xlfn.XLOOKUP(Jnl[[#This Row],[TrxId]], Trx[Id], Trx[Date],,0)</f>
        <v>46022</v>
      </c>
      <c r="C7" s="6" t="str">
        <f>_xlfn.XLOOKUP(Jnl[[#This Row],[TrxId]], Trx[Id], Trx[Division],,0)</f>
        <v>Ctrl</v>
      </c>
      <c r="D7" s="6" t="str">
        <f>_xlfn.XLOOKUP(Jnl[[#This Row],[TrxId]], Trx[Id], Trx[Action],,0)</f>
        <v>forward</v>
      </c>
      <c r="E7" s="6" t="s">
        <v>89</v>
      </c>
      <c r="F7" s="10" t="s">
        <v>13</v>
      </c>
      <c r="G7" s="10" t="s">
        <v>105</v>
      </c>
      <c r="H7" s="21">
        <v>838646.21</v>
      </c>
      <c r="I7" s="11" t="b">
        <f>AND(Jnl[[#This Row],[TrxId]]&lt;&gt;"",Jnl[[#This Row],[Acct]]&lt;&gt;"",Jnl[[#This Row],[Item]]&lt;&gt;"",ISNUMBER(Jnl[[#This Row],[Bal]]))</f>
        <v>1</v>
      </c>
      <c r="J7" s="9">
        <f>IF(Jnl[[#This Row],[BSLv0]]="A",1,-1)*Jnl[[#This Row],[Bal]]</f>
        <v>838646.21</v>
      </c>
      <c r="K7" t="str">
        <f>_xlfn.XLOOKUP(Jnl[[#This Row],[Acct]], config_BS[Acct], config_BS[Lv0],,0)</f>
        <v>A</v>
      </c>
      <c r="L7" t="str">
        <f>_xlfn.XLOOKUP(Jnl[[#This Row],[Acct]], config_BS[Acct], config_BS[Lv1],,0)</f>
        <v>Assets</v>
      </c>
      <c r="M7" t="str">
        <f>_xlfn.XLOOKUP(Jnl[[#This Row],[Acct]], config_BS[Acct], config_BS[Lv2],,0)</f>
        <v>Cash</v>
      </c>
      <c r="N7" t="str">
        <f>_xlfn.XLOOKUP(Jnl[[#This Row],[TrxId]], Trx[Id], Trx[IncNode], ,0)</f>
        <v>Other</v>
      </c>
      <c r="O7" t="str">
        <f>_xlfn.XLOOKUP(Jnl[[#This Row],[IncNode]], config_IS[Node], config_IS[Type],,0)</f>
        <v>Non-Op</v>
      </c>
      <c r="P7" t="str">
        <f>_xlfn.XLOOKUP(Jnl[[#This Row],[BSLv2]], dict[Key], dict[Name],,0)</f>
        <v>0.现金</v>
      </c>
      <c r="Q7" t="str">
        <f>_xlfn.XLOOKUP(Jnl[[#This Row],[Acct]], dict[Key], dict[Name],,0)</f>
        <v>银行</v>
      </c>
      <c r="R7" t="str">
        <f>_xlfn.XLOOKUP(Jnl[[#This Row],[Vehicle]],config_vehicle[Id], config_vehicle[Name],,0)</f>
        <v>喜家文化</v>
      </c>
    </row>
    <row r="8" spans="1:18">
      <c r="A8" s="10" t="s">
        <v>173</v>
      </c>
      <c r="B8" s="6">
        <f>_xlfn.XLOOKUP(Jnl[[#This Row],[TrxId]], Trx[Id], Trx[Date],,0)</f>
        <v>46022</v>
      </c>
      <c r="C8" s="6" t="str">
        <f>_xlfn.XLOOKUP(Jnl[[#This Row],[TrxId]], Trx[Id], Trx[Division],,0)</f>
        <v>Ctrl</v>
      </c>
      <c r="D8" s="6" t="str">
        <f>_xlfn.XLOOKUP(Jnl[[#This Row],[TrxId]], Trx[Id], Trx[Action],,0)</f>
        <v>forward</v>
      </c>
      <c r="E8" s="6" t="s">
        <v>89</v>
      </c>
      <c r="F8" s="10" t="s">
        <v>16</v>
      </c>
      <c r="G8" s="10" t="s">
        <v>108</v>
      </c>
      <c r="H8" s="21">
        <v>25540.15</v>
      </c>
      <c r="I8" s="11" t="b">
        <f>AND(Jnl[[#This Row],[TrxId]]&lt;&gt;"",Jnl[[#This Row],[Acct]]&lt;&gt;"",Jnl[[#This Row],[Item]]&lt;&gt;"",ISNUMBER(Jnl[[#This Row],[Bal]]))</f>
        <v>1</v>
      </c>
      <c r="J8" s="9">
        <f>IF(Jnl[[#This Row],[BSLv0]]="A",1,-1)*Jnl[[#This Row],[Bal]]</f>
        <v>25540.15</v>
      </c>
      <c r="K8" t="str">
        <f>_xlfn.XLOOKUP(Jnl[[#This Row],[Acct]], config_BS[Acct], config_BS[Lv0],,0)</f>
        <v>A</v>
      </c>
      <c r="L8" t="str">
        <f>_xlfn.XLOOKUP(Jnl[[#This Row],[Acct]], config_BS[Acct], config_BS[Lv1],,0)</f>
        <v>Assets</v>
      </c>
      <c r="M8" t="str">
        <f>_xlfn.XLOOKUP(Jnl[[#This Row],[Acct]], config_BS[Acct], config_BS[Lv2],,0)</f>
        <v>Cash</v>
      </c>
      <c r="N8" t="str">
        <f>_xlfn.XLOOKUP(Jnl[[#This Row],[TrxId]], Trx[Id], Trx[IncNode], ,0)</f>
        <v>Other</v>
      </c>
      <c r="O8" t="str">
        <f>_xlfn.XLOOKUP(Jnl[[#This Row],[IncNode]], config_IS[Node], config_IS[Type],,0)</f>
        <v>Non-Op</v>
      </c>
      <c r="P8" t="str">
        <f>_xlfn.XLOOKUP(Jnl[[#This Row],[BSLv2]], dict[Key], dict[Name],,0)</f>
        <v>0.现金</v>
      </c>
      <c r="Q8" t="str">
        <f>_xlfn.XLOOKUP(Jnl[[#This Row],[Acct]], dict[Key], dict[Name],,0)</f>
        <v>物理现金</v>
      </c>
      <c r="R8" t="str">
        <f>_xlfn.XLOOKUP(Jnl[[#This Row],[Vehicle]],config_vehicle[Id], config_vehicle[Name],,0)</f>
        <v>喜家文化</v>
      </c>
    </row>
    <row r="9" spans="1:18">
      <c r="A9" s="10" t="s">
        <v>173</v>
      </c>
      <c r="B9" s="6">
        <f>_xlfn.XLOOKUP(Jnl[[#This Row],[TrxId]], Trx[Id], Trx[Date],,0)</f>
        <v>46022</v>
      </c>
      <c r="C9" s="6" t="str">
        <f>_xlfn.XLOOKUP(Jnl[[#This Row],[TrxId]], Trx[Id], Trx[Division],,0)</f>
        <v>Ctrl</v>
      </c>
      <c r="D9" s="6" t="str">
        <f>_xlfn.XLOOKUP(Jnl[[#This Row],[TrxId]], Trx[Id], Trx[Action],,0)</f>
        <v>forward</v>
      </c>
      <c r="E9" s="6" t="s">
        <v>118</v>
      </c>
      <c r="F9" s="10" t="s">
        <v>13</v>
      </c>
      <c r="G9" s="10" t="s">
        <v>106</v>
      </c>
      <c r="H9" s="21">
        <v>125030.24</v>
      </c>
      <c r="I9" s="11" t="b">
        <f>AND(Jnl[[#This Row],[TrxId]]&lt;&gt;"",Jnl[[#This Row],[Acct]]&lt;&gt;"",Jnl[[#This Row],[Item]]&lt;&gt;"",ISNUMBER(Jnl[[#This Row],[Bal]]))</f>
        <v>1</v>
      </c>
      <c r="J9" s="9">
        <f>IF(Jnl[[#This Row],[BSLv0]]="A",1,-1)*Jnl[[#This Row],[Bal]]</f>
        <v>125030.24</v>
      </c>
      <c r="K9" t="str">
        <f>_xlfn.XLOOKUP(Jnl[[#This Row],[Acct]], config_BS[Acct], config_BS[Lv0],,0)</f>
        <v>A</v>
      </c>
      <c r="L9" t="str">
        <f>_xlfn.XLOOKUP(Jnl[[#This Row],[Acct]], config_BS[Acct], config_BS[Lv1],,0)</f>
        <v>Assets</v>
      </c>
      <c r="M9" t="str">
        <f>_xlfn.XLOOKUP(Jnl[[#This Row],[Acct]], config_BS[Acct], config_BS[Lv2],,0)</f>
        <v>Cash</v>
      </c>
      <c r="N9" t="str">
        <f>_xlfn.XLOOKUP(Jnl[[#This Row],[TrxId]], Trx[Id], Trx[IncNode], ,0)</f>
        <v>Other</v>
      </c>
      <c r="O9" t="str">
        <f>_xlfn.XLOOKUP(Jnl[[#This Row],[IncNode]], config_IS[Node], config_IS[Type],,0)</f>
        <v>Non-Op</v>
      </c>
      <c r="P9" t="str">
        <f>_xlfn.XLOOKUP(Jnl[[#This Row],[BSLv2]], dict[Key], dict[Name],,0)</f>
        <v>0.现金</v>
      </c>
      <c r="Q9" t="str">
        <f>_xlfn.XLOOKUP(Jnl[[#This Row],[Acct]], dict[Key], dict[Name],,0)</f>
        <v>银行</v>
      </c>
      <c r="R9" t="str">
        <f>_xlfn.XLOOKUP(Jnl[[#This Row],[Vehicle]],config_vehicle[Id], config_vehicle[Name],,0)</f>
        <v>远家花园高新分公司</v>
      </c>
    </row>
    <row r="10" spans="1:18">
      <c r="A10" s="10" t="s">
        <v>173</v>
      </c>
      <c r="B10" s="6">
        <f>_xlfn.XLOOKUP(Jnl[[#This Row],[TrxId]], Trx[Id], Trx[Date],,0)</f>
        <v>46022</v>
      </c>
      <c r="C10" s="6" t="str">
        <f>_xlfn.XLOOKUP(Jnl[[#This Row],[TrxId]], Trx[Id], Trx[Division],,0)</f>
        <v>Ctrl</v>
      </c>
      <c r="D10" s="6" t="str">
        <f>_xlfn.XLOOKUP(Jnl[[#This Row],[TrxId]], Trx[Id], Trx[Action],,0)</f>
        <v>forward</v>
      </c>
      <c r="E10" s="6" t="s">
        <v>89</v>
      </c>
      <c r="F10" s="10" t="s">
        <v>16</v>
      </c>
      <c r="G10" s="10" t="s">
        <v>107</v>
      </c>
      <c r="H10" s="21">
        <v>2000</v>
      </c>
      <c r="I10" s="11" t="b">
        <f>AND(Jnl[[#This Row],[TrxId]]&lt;&gt;"",Jnl[[#This Row],[Acct]]&lt;&gt;"",Jnl[[#This Row],[Item]]&lt;&gt;"",ISNUMBER(Jnl[[#This Row],[Bal]]))</f>
        <v>1</v>
      </c>
      <c r="J10" s="9">
        <f>IF(Jnl[[#This Row],[BSLv0]]="A",1,-1)*Jnl[[#This Row],[Bal]]</f>
        <v>2000</v>
      </c>
      <c r="K10" t="str">
        <f>_xlfn.XLOOKUP(Jnl[[#This Row],[Acct]], config_BS[Acct], config_BS[Lv0],,0)</f>
        <v>A</v>
      </c>
      <c r="L10" t="str">
        <f>_xlfn.XLOOKUP(Jnl[[#This Row],[Acct]], config_BS[Acct], config_BS[Lv1],,0)</f>
        <v>Assets</v>
      </c>
      <c r="M10" t="str">
        <f>_xlfn.XLOOKUP(Jnl[[#This Row],[Acct]], config_BS[Acct], config_BS[Lv2],,0)</f>
        <v>Cash</v>
      </c>
      <c r="N10" t="str">
        <f>_xlfn.XLOOKUP(Jnl[[#This Row],[TrxId]], Trx[Id], Trx[IncNode], ,0)</f>
        <v>Other</v>
      </c>
      <c r="O10" t="str">
        <f>_xlfn.XLOOKUP(Jnl[[#This Row],[IncNode]], config_IS[Node], config_IS[Type],,0)</f>
        <v>Non-Op</v>
      </c>
      <c r="P10" t="str">
        <f>_xlfn.XLOOKUP(Jnl[[#This Row],[BSLv2]], dict[Key], dict[Name],,0)</f>
        <v>0.现金</v>
      </c>
      <c r="Q10" t="str">
        <f>_xlfn.XLOOKUP(Jnl[[#This Row],[Acct]], dict[Key], dict[Name],,0)</f>
        <v>物理现金</v>
      </c>
      <c r="R10" t="str">
        <f>_xlfn.XLOOKUP(Jnl[[#This Row],[Vehicle]],config_vehicle[Id], config_vehicle[Name],,0)</f>
        <v>喜家文化</v>
      </c>
    </row>
    <row r="11" spans="1:18">
      <c r="A11" s="10" t="s">
        <v>173</v>
      </c>
      <c r="B11" s="6">
        <f>_xlfn.XLOOKUP(Jnl[[#This Row],[TrxId]], Trx[Id], Trx[Date],,0)</f>
        <v>46022</v>
      </c>
      <c r="C11" s="6" t="str">
        <f>_xlfn.XLOOKUP(Jnl[[#This Row],[TrxId]], Trx[Id], Trx[Division],,0)</f>
        <v>Ctrl</v>
      </c>
      <c r="D11" s="6" t="str">
        <f>_xlfn.XLOOKUP(Jnl[[#This Row],[TrxId]], Trx[Id], Trx[Action],,0)</f>
        <v>forward</v>
      </c>
      <c r="E11" s="6" t="s">
        <v>90</v>
      </c>
      <c r="F11" s="10" t="s">
        <v>13</v>
      </c>
      <c r="G11" s="10" t="s">
        <v>109</v>
      </c>
      <c r="H11" s="21">
        <v>1012107.86</v>
      </c>
      <c r="I11" s="11" t="b">
        <f>AND(Jnl[[#This Row],[TrxId]]&lt;&gt;"",Jnl[[#This Row],[Acct]]&lt;&gt;"",Jnl[[#This Row],[Item]]&lt;&gt;"",ISNUMBER(Jnl[[#This Row],[Bal]]))</f>
        <v>1</v>
      </c>
      <c r="J11" s="9">
        <f>IF(Jnl[[#This Row],[BSLv0]]="A",1,-1)*Jnl[[#This Row],[Bal]]</f>
        <v>1012107.86</v>
      </c>
      <c r="K11" t="str">
        <f>_xlfn.XLOOKUP(Jnl[[#This Row],[Acct]], config_BS[Acct], config_BS[Lv0],,0)</f>
        <v>A</v>
      </c>
      <c r="L11" t="str">
        <f>_xlfn.XLOOKUP(Jnl[[#This Row],[Acct]], config_BS[Acct], config_BS[Lv1],,0)</f>
        <v>Assets</v>
      </c>
      <c r="M11" t="str">
        <f>_xlfn.XLOOKUP(Jnl[[#This Row],[Acct]], config_BS[Acct], config_BS[Lv2],,0)</f>
        <v>Cash</v>
      </c>
      <c r="N11" t="str">
        <f>_xlfn.XLOOKUP(Jnl[[#This Row],[TrxId]], Trx[Id], Trx[IncNode], ,0)</f>
        <v>Other</v>
      </c>
      <c r="O11" t="str">
        <f>_xlfn.XLOOKUP(Jnl[[#This Row],[IncNode]], config_IS[Node], config_IS[Type],,0)</f>
        <v>Non-Op</v>
      </c>
      <c r="P11" t="str">
        <f>_xlfn.XLOOKUP(Jnl[[#This Row],[BSLv2]], dict[Key], dict[Name],,0)</f>
        <v>0.现金</v>
      </c>
      <c r="Q11" t="str">
        <f>_xlfn.XLOOKUP(Jnl[[#This Row],[Acct]], dict[Key], dict[Name],,0)</f>
        <v>银行</v>
      </c>
      <c r="R11" t="str">
        <f>_xlfn.XLOOKUP(Jnl[[#This Row],[Vehicle]],config_vehicle[Id], config_vehicle[Name],,0)</f>
        <v>米小易</v>
      </c>
    </row>
    <row r="12" spans="1:18">
      <c r="A12" s="10" t="s">
        <v>173</v>
      </c>
      <c r="B12" s="6">
        <f>_xlfn.XLOOKUP(Jnl[[#This Row],[TrxId]], Trx[Id], Trx[Date],,0)</f>
        <v>46022</v>
      </c>
      <c r="C12" s="6" t="str">
        <f>_xlfn.XLOOKUP(Jnl[[#This Row],[TrxId]], Trx[Id], Trx[Division],,0)</f>
        <v>Ctrl</v>
      </c>
      <c r="D12" s="6" t="str">
        <f>_xlfn.XLOOKUP(Jnl[[#This Row],[TrxId]], Trx[Id], Trx[Action],,0)</f>
        <v>forward</v>
      </c>
      <c r="E12" s="6" t="s">
        <v>89</v>
      </c>
      <c r="F12" s="10" t="s">
        <v>16</v>
      </c>
      <c r="G12" s="10" t="s">
        <v>110</v>
      </c>
      <c r="H12" s="21">
        <v>1304</v>
      </c>
      <c r="I12" s="11" t="b">
        <f>AND(Jnl[[#This Row],[TrxId]]&lt;&gt;"",Jnl[[#This Row],[Acct]]&lt;&gt;"",Jnl[[#This Row],[Item]]&lt;&gt;"",ISNUMBER(Jnl[[#This Row],[Bal]]))</f>
        <v>1</v>
      </c>
      <c r="J12" s="9">
        <f>IF(Jnl[[#This Row],[BSLv0]]="A",1,-1)*Jnl[[#This Row],[Bal]]</f>
        <v>1304</v>
      </c>
      <c r="K12" t="str">
        <f>_xlfn.XLOOKUP(Jnl[[#This Row],[Acct]], config_BS[Acct], config_BS[Lv0],,0)</f>
        <v>A</v>
      </c>
      <c r="L12" t="str">
        <f>_xlfn.XLOOKUP(Jnl[[#This Row],[Acct]], config_BS[Acct], config_BS[Lv1],,0)</f>
        <v>Assets</v>
      </c>
      <c r="M12" t="str">
        <f>_xlfn.XLOOKUP(Jnl[[#This Row],[Acct]], config_BS[Acct], config_BS[Lv2],,0)</f>
        <v>Cash</v>
      </c>
      <c r="N12" t="str">
        <f>_xlfn.XLOOKUP(Jnl[[#This Row],[TrxId]], Trx[Id], Trx[IncNode], ,0)</f>
        <v>Other</v>
      </c>
      <c r="O12" t="str">
        <f>_xlfn.XLOOKUP(Jnl[[#This Row],[IncNode]], config_IS[Node], config_IS[Type],,0)</f>
        <v>Non-Op</v>
      </c>
      <c r="P12" t="str">
        <f>_xlfn.XLOOKUP(Jnl[[#This Row],[BSLv2]], dict[Key], dict[Name],,0)</f>
        <v>0.现金</v>
      </c>
      <c r="Q12" t="str">
        <f>_xlfn.XLOOKUP(Jnl[[#This Row],[Acct]], dict[Key], dict[Name],,0)</f>
        <v>物理现金</v>
      </c>
      <c r="R12" t="str">
        <f>_xlfn.XLOOKUP(Jnl[[#This Row],[Vehicle]],config_vehicle[Id], config_vehicle[Name],,0)</f>
        <v>喜家文化</v>
      </c>
    </row>
    <row r="13" spans="1:18">
      <c r="A13" s="10" t="s">
        <v>173</v>
      </c>
      <c r="B13" s="6">
        <f>_xlfn.XLOOKUP(Jnl[[#This Row],[TrxId]], Trx[Id], Trx[Date],,0)</f>
        <v>46022</v>
      </c>
      <c r="C13" s="6" t="str">
        <f>_xlfn.XLOOKUP(Jnl[[#This Row],[TrxId]], Trx[Id], Trx[Division],,0)</f>
        <v>Ctrl</v>
      </c>
      <c r="D13" s="6" t="str">
        <f>_xlfn.XLOOKUP(Jnl[[#This Row],[TrxId]], Trx[Id], Trx[Action],,0)</f>
        <v>forward</v>
      </c>
      <c r="E13" s="6" t="s">
        <v>91</v>
      </c>
      <c r="F13" s="10" t="s">
        <v>13</v>
      </c>
      <c r="G13" s="10" t="s">
        <v>111</v>
      </c>
      <c r="H13" s="21">
        <v>174191.78</v>
      </c>
      <c r="I13" s="11" t="b">
        <f>AND(Jnl[[#This Row],[TrxId]]&lt;&gt;"",Jnl[[#This Row],[Acct]]&lt;&gt;"",Jnl[[#This Row],[Item]]&lt;&gt;"",ISNUMBER(Jnl[[#This Row],[Bal]]))</f>
        <v>1</v>
      </c>
      <c r="J13" s="9">
        <f>IF(Jnl[[#This Row],[BSLv0]]="A",1,-1)*Jnl[[#This Row],[Bal]]</f>
        <v>174191.78</v>
      </c>
      <c r="K13" t="str">
        <f>_xlfn.XLOOKUP(Jnl[[#This Row],[Acct]], config_BS[Acct], config_BS[Lv0],,0)</f>
        <v>A</v>
      </c>
      <c r="L13" t="str">
        <f>_xlfn.XLOOKUP(Jnl[[#This Row],[Acct]], config_BS[Acct], config_BS[Lv1],,0)</f>
        <v>Assets</v>
      </c>
      <c r="M13" t="str">
        <f>_xlfn.XLOOKUP(Jnl[[#This Row],[Acct]], config_BS[Acct], config_BS[Lv2],,0)</f>
        <v>Cash</v>
      </c>
      <c r="N13" t="str">
        <f>_xlfn.XLOOKUP(Jnl[[#This Row],[TrxId]], Trx[Id], Trx[IncNode], ,0)</f>
        <v>Other</v>
      </c>
      <c r="O13" t="str">
        <f>_xlfn.XLOOKUP(Jnl[[#This Row],[IncNode]], config_IS[Node], config_IS[Type],,0)</f>
        <v>Non-Op</v>
      </c>
      <c r="P13" t="str">
        <f>_xlfn.XLOOKUP(Jnl[[#This Row],[BSLv2]], dict[Key], dict[Name],,0)</f>
        <v>0.现金</v>
      </c>
      <c r="Q13" t="str">
        <f>_xlfn.XLOOKUP(Jnl[[#This Row],[Acct]], dict[Key], dict[Name],,0)</f>
        <v>银行</v>
      </c>
      <c r="R13" t="str">
        <f>_xlfn.XLOOKUP(Jnl[[#This Row],[Vehicle]],config_vehicle[Id], config_vehicle[Name],,0)</f>
        <v>远家文化</v>
      </c>
    </row>
    <row r="14" spans="1:18">
      <c r="A14" s="10" t="s">
        <v>173</v>
      </c>
      <c r="B14" s="6">
        <f>_xlfn.XLOOKUP(Jnl[[#This Row],[TrxId]], Trx[Id], Trx[Date],,0)</f>
        <v>46022</v>
      </c>
      <c r="C14" s="6" t="str">
        <f>_xlfn.XLOOKUP(Jnl[[#This Row],[TrxId]], Trx[Id], Trx[Division],,0)</f>
        <v>Ctrl</v>
      </c>
      <c r="D14" s="6" t="str">
        <f>_xlfn.XLOOKUP(Jnl[[#This Row],[TrxId]], Trx[Id], Trx[Action],,0)</f>
        <v>forward</v>
      </c>
      <c r="E14" s="6" t="s">
        <v>119</v>
      </c>
      <c r="F14" s="10" t="s">
        <v>13</v>
      </c>
      <c r="G14" s="10" t="s">
        <v>112</v>
      </c>
      <c r="H14" s="21">
        <v>21355.13</v>
      </c>
      <c r="I14" s="11" t="b">
        <f>AND(Jnl[[#This Row],[TrxId]]&lt;&gt;"",Jnl[[#This Row],[Acct]]&lt;&gt;"",Jnl[[#This Row],[Item]]&lt;&gt;"",ISNUMBER(Jnl[[#This Row],[Bal]]))</f>
        <v>1</v>
      </c>
      <c r="J14" s="9">
        <f>IF(Jnl[[#This Row],[BSLv0]]="A",1,-1)*Jnl[[#This Row],[Bal]]</f>
        <v>21355.13</v>
      </c>
      <c r="K14" t="str">
        <f>_xlfn.XLOOKUP(Jnl[[#This Row],[Acct]], config_BS[Acct], config_BS[Lv0],,0)</f>
        <v>A</v>
      </c>
      <c r="L14" t="str">
        <f>_xlfn.XLOOKUP(Jnl[[#This Row],[Acct]], config_BS[Acct], config_BS[Lv1],,0)</f>
        <v>Assets</v>
      </c>
      <c r="M14" t="str">
        <f>_xlfn.XLOOKUP(Jnl[[#This Row],[Acct]], config_BS[Acct], config_BS[Lv2],,0)</f>
        <v>Cash</v>
      </c>
      <c r="N14" t="str">
        <f>_xlfn.XLOOKUP(Jnl[[#This Row],[TrxId]], Trx[Id], Trx[IncNode], ,0)</f>
        <v>Other</v>
      </c>
      <c r="O14" t="str">
        <f>_xlfn.XLOOKUP(Jnl[[#This Row],[IncNode]], config_IS[Node], config_IS[Type],,0)</f>
        <v>Non-Op</v>
      </c>
      <c r="P14" t="str">
        <f>_xlfn.XLOOKUP(Jnl[[#This Row],[BSLv2]], dict[Key], dict[Name],,0)</f>
        <v>0.现金</v>
      </c>
      <c r="Q14" t="str">
        <f>_xlfn.XLOOKUP(Jnl[[#This Row],[Acct]], dict[Key], dict[Name],,0)</f>
        <v>银行</v>
      </c>
      <c r="R14" t="str">
        <f>_xlfn.XLOOKUP(Jnl[[#This Row],[Vehicle]],config_vehicle[Id], config_vehicle[Name],,0)</f>
        <v>远家文化蒲江分公司</v>
      </c>
    </row>
    <row r="15" spans="1:18">
      <c r="A15" s="10" t="s">
        <v>173</v>
      </c>
      <c r="B15" s="6">
        <f>_xlfn.XLOOKUP(Jnl[[#This Row],[TrxId]], Trx[Id], Trx[Date],,0)</f>
        <v>46022</v>
      </c>
      <c r="C15" s="6" t="str">
        <f>_xlfn.XLOOKUP(Jnl[[#This Row],[TrxId]], Trx[Id], Trx[Division],,0)</f>
        <v>Ctrl</v>
      </c>
      <c r="D15" s="6" t="str">
        <f>_xlfn.XLOOKUP(Jnl[[#This Row],[TrxId]], Trx[Id], Trx[Action],,0)</f>
        <v>forward</v>
      </c>
      <c r="E15" s="6" t="s">
        <v>94</v>
      </c>
      <c r="F15" s="10" t="s">
        <v>13</v>
      </c>
      <c r="G15" s="10" t="s">
        <v>113</v>
      </c>
      <c r="H15" s="21">
        <v>143995.32</v>
      </c>
      <c r="I15" s="11" t="b">
        <f>AND(Jnl[[#This Row],[TrxId]]&lt;&gt;"",Jnl[[#This Row],[Acct]]&lt;&gt;"",Jnl[[#This Row],[Item]]&lt;&gt;"",ISNUMBER(Jnl[[#This Row],[Bal]]))</f>
        <v>1</v>
      </c>
      <c r="J15" s="9">
        <f>IF(Jnl[[#This Row],[BSLv0]]="A",1,-1)*Jnl[[#This Row],[Bal]]</f>
        <v>143995.32</v>
      </c>
      <c r="K15" t="str">
        <f>_xlfn.XLOOKUP(Jnl[[#This Row],[Acct]], config_BS[Acct], config_BS[Lv0],,0)</f>
        <v>A</v>
      </c>
      <c r="L15" t="str">
        <f>_xlfn.XLOOKUP(Jnl[[#This Row],[Acct]], config_BS[Acct], config_BS[Lv1],,0)</f>
        <v>Assets</v>
      </c>
      <c r="M15" t="str">
        <f>_xlfn.XLOOKUP(Jnl[[#This Row],[Acct]], config_BS[Acct], config_BS[Lv2],,0)</f>
        <v>Cash</v>
      </c>
      <c r="N15" t="str">
        <f>_xlfn.XLOOKUP(Jnl[[#This Row],[TrxId]], Trx[Id], Trx[IncNode], ,0)</f>
        <v>Other</v>
      </c>
      <c r="O15" t="str">
        <f>_xlfn.XLOOKUP(Jnl[[#This Row],[IncNode]], config_IS[Node], config_IS[Type],,0)</f>
        <v>Non-Op</v>
      </c>
      <c r="P15" t="str">
        <f>_xlfn.XLOOKUP(Jnl[[#This Row],[BSLv2]], dict[Key], dict[Name],,0)</f>
        <v>0.现金</v>
      </c>
      <c r="Q15" t="str">
        <f>_xlfn.XLOOKUP(Jnl[[#This Row],[Acct]], dict[Key], dict[Name],,0)</f>
        <v>银行</v>
      </c>
      <c r="R15" t="str">
        <f>_xlfn.XLOOKUP(Jnl[[#This Row],[Vehicle]],config_vehicle[Id], config_vehicle[Name],,0)</f>
        <v>张小喜</v>
      </c>
    </row>
    <row r="16" spans="1:18">
      <c r="A16" s="10" t="s">
        <v>173</v>
      </c>
      <c r="B16" s="6">
        <f>_xlfn.XLOOKUP(Jnl[[#This Row],[TrxId]], Trx[Id], Trx[Date],,0)</f>
        <v>46022</v>
      </c>
      <c r="C16" s="6" t="str">
        <f>_xlfn.XLOOKUP(Jnl[[#This Row],[TrxId]], Trx[Id], Trx[Division],,0)</f>
        <v>Ctrl</v>
      </c>
      <c r="D16" s="6" t="str">
        <f>_xlfn.XLOOKUP(Jnl[[#This Row],[TrxId]], Trx[Id], Trx[Action],,0)</f>
        <v>forward</v>
      </c>
      <c r="E16" s="6" t="s">
        <v>94</v>
      </c>
      <c r="F16" s="10" t="s">
        <v>13</v>
      </c>
      <c r="G16" s="10" t="s">
        <v>114</v>
      </c>
      <c r="H16" s="21">
        <v>435221.41</v>
      </c>
      <c r="I16" s="11" t="b">
        <f>AND(Jnl[[#This Row],[TrxId]]&lt;&gt;"",Jnl[[#This Row],[Acct]]&lt;&gt;"",Jnl[[#This Row],[Item]]&lt;&gt;"",ISNUMBER(Jnl[[#This Row],[Bal]]))</f>
        <v>1</v>
      </c>
      <c r="J16" s="9">
        <f>IF(Jnl[[#This Row],[BSLv0]]="A",1,-1)*Jnl[[#This Row],[Bal]]</f>
        <v>435221.41</v>
      </c>
      <c r="K16" t="str">
        <f>_xlfn.XLOOKUP(Jnl[[#This Row],[Acct]], config_BS[Acct], config_BS[Lv0],,0)</f>
        <v>A</v>
      </c>
      <c r="L16" t="str">
        <f>_xlfn.XLOOKUP(Jnl[[#This Row],[Acct]], config_BS[Acct], config_BS[Lv1],,0)</f>
        <v>Assets</v>
      </c>
      <c r="M16" t="str">
        <f>_xlfn.XLOOKUP(Jnl[[#This Row],[Acct]], config_BS[Acct], config_BS[Lv2],,0)</f>
        <v>Cash</v>
      </c>
      <c r="N16" t="str">
        <f>_xlfn.XLOOKUP(Jnl[[#This Row],[TrxId]], Trx[Id], Trx[IncNode], ,0)</f>
        <v>Other</v>
      </c>
      <c r="O16" t="str">
        <f>_xlfn.XLOOKUP(Jnl[[#This Row],[IncNode]], config_IS[Node], config_IS[Type],,0)</f>
        <v>Non-Op</v>
      </c>
      <c r="P16" t="str">
        <f>_xlfn.XLOOKUP(Jnl[[#This Row],[BSLv2]], dict[Key], dict[Name],,0)</f>
        <v>0.现金</v>
      </c>
      <c r="Q16" t="str">
        <f>_xlfn.XLOOKUP(Jnl[[#This Row],[Acct]], dict[Key], dict[Name],,0)</f>
        <v>银行</v>
      </c>
      <c r="R16" t="str">
        <f>_xlfn.XLOOKUP(Jnl[[#This Row],[Vehicle]],config_vehicle[Id], config_vehicle[Name],,0)</f>
        <v>张小喜</v>
      </c>
    </row>
    <row r="17" spans="1:18">
      <c r="A17" s="10" t="s">
        <v>173</v>
      </c>
      <c r="B17" s="6">
        <f>_xlfn.XLOOKUP(Jnl[[#This Row],[TrxId]], Trx[Id], Trx[Date],,0)</f>
        <v>46022</v>
      </c>
      <c r="C17" s="6" t="str">
        <f>_xlfn.XLOOKUP(Jnl[[#This Row],[TrxId]], Trx[Id], Trx[Division],,0)</f>
        <v>Ctrl</v>
      </c>
      <c r="D17" s="6" t="str">
        <f>_xlfn.XLOOKUP(Jnl[[#This Row],[TrxId]], Trx[Id], Trx[Action],,0)</f>
        <v>forward</v>
      </c>
      <c r="E17" s="6" t="s">
        <v>95</v>
      </c>
      <c r="F17" s="10" t="s">
        <v>13</v>
      </c>
      <c r="G17" s="10" t="s">
        <v>114</v>
      </c>
      <c r="H17" s="21">
        <v>12977.6</v>
      </c>
      <c r="I17" s="11" t="b">
        <f>AND(Jnl[[#This Row],[TrxId]]&lt;&gt;"",Jnl[[#This Row],[Acct]]&lt;&gt;"",Jnl[[#This Row],[Item]]&lt;&gt;"",ISNUMBER(Jnl[[#This Row],[Bal]]))</f>
        <v>1</v>
      </c>
      <c r="J17" s="9">
        <f>IF(Jnl[[#This Row],[BSLv0]]="A",1,-1)*Jnl[[#This Row],[Bal]]</f>
        <v>12977.6</v>
      </c>
      <c r="K17" t="str">
        <f>_xlfn.XLOOKUP(Jnl[[#This Row],[Acct]], config_BS[Acct], config_BS[Lv0],,0)</f>
        <v>A</v>
      </c>
      <c r="L17" t="str">
        <f>_xlfn.XLOOKUP(Jnl[[#This Row],[Acct]], config_BS[Acct], config_BS[Lv1],,0)</f>
        <v>Assets</v>
      </c>
      <c r="M17" t="str">
        <f>_xlfn.XLOOKUP(Jnl[[#This Row],[Acct]], config_BS[Acct], config_BS[Lv2],,0)</f>
        <v>Cash</v>
      </c>
      <c r="N17" t="str">
        <f>_xlfn.XLOOKUP(Jnl[[#This Row],[TrxId]], Trx[Id], Trx[IncNode], ,0)</f>
        <v>Other</v>
      </c>
      <c r="O17" t="str">
        <f>_xlfn.XLOOKUP(Jnl[[#This Row],[IncNode]], config_IS[Node], config_IS[Type],,0)</f>
        <v>Non-Op</v>
      </c>
      <c r="P17" t="str">
        <f>_xlfn.XLOOKUP(Jnl[[#This Row],[BSLv2]], dict[Key], dict[Name],,0)</f>
        <v>0.现金</v>
      </c>
      <c r="Q17" t="str">
        <f>_xlfn.XLOOKUP(Jnl[[#This Row],[Acct]], dict[Key], dict[Name],,0)</f>
        <v>银行</v>
      </c>
      <c r="R17" t="str">
        <f>_xlfn.XLOOKUP(Jnl[[#This Row],[Vehicle]],config_vehicle[Id], config_vehicle[Name],,0)</f>
        <v>小月号</v>
      </c>
    </row>
    <row r="18" spans="1:18">
      <c r="A18" s="10" t="s">
        <v>173</v>
      </c>
      <c r="B18" s="6">
        <f>_xlfn.XLOOKUP(Jnl[[#This Row],[TrxId]], Trx[Id], Trx[Date],,0)</f>
        <v>46022</v>
      </c>
      <c r="C18" s="6" t="str">
        <f>_xlfn.XLOOKUP(Jnl[[#This Row],[TrxId]], Trx[Id], Trx[Division],,0)</f>
        <v>Ctrl</v>
      </c>
      <c r="D18" s="6" t="str">
        <f>_xlfn.XLOOKUP(Jnl[[#This Row],[TrxId]], Trx[Id], Trx[Action],,0)</f>
        <v>forward</v>
      </c>
      <c r="E18" s="6" t="s">
        <v>96</v>
      </c>
      <c r="F18" s="10" t="s">
        <v>13</v>
      </c>
      <c r="G18" s="10" t="s">
        <v>115</v>
      </c>
      <c r="H18" s="21">
        <v>30900.25</v>
      </c>
      <c r="I18" s="11" t="b">
        <f>AND(Jnl[[#This Row],[TrxId]]&lt;&gt;"",Jnl[[#This Row],[Acct]]&lt;&gt;"",Jnl[[#This Row],[Item]]&lt;&gt;"",ISNUMBER(Jnl[[#This Row],[Bal]]))</f>
        <v>1</v>
      </c>
      <c r="J18" s="9">
        <f>IF(Jnl[[#This Row],[BSLv0]]="A",1,-1)*Jnl[[#This Row],[Bal]]</f>
        <v>30900.25</v>
      </c>
      <c r="K18" t="str">
        <f>_xlfn.XLOOKUP(Jnl[[#This Row],[Acct]], config_BS[Acct], config_BS[Lv0],,0)</f>
        <v>A</v>
      </c>
      <c r="L18" t="str">
        <f>_xlfn.XLOOKUP(Jnl[[#This Row],[Acct]], config_BS[Acct], config_BS[Lv1],,0)</f>
        <v>Assets</v>
      </c>
      <c r="M18" t="str">
        <f>_xlfn.XLOOKUP(Jnl[[#This Row],[Acct]], config_BS[Acct], config_BS[Lv2],,0)</f>
        <v>Cash</v>
      </c>
      <c r="N18" t="str">
        <f>_xlfn.XLOOKUP(Jnl[[#This Row],[TrxId]], Trx[Id], Trx[IncNode], ,0)</f>
        <v>Other</v>
      </c>
      <c r="O18" t="str">
        <f>_xlfn.XLOOKUP(Jnl[[#This Row],[IncNode]], config_IS[Node], config_IS[Type],,0)</f>
        <v>Non-Op</v>
      </c>
      <c r="P18" t="str">
        <f>_xlfn.XLOOKUP(Jnl[[#This Row],[BSLv2]], dict[Key], dict[Name],,0)</f>
        <v>0.现金</v>
      </c>
      <c r="Q18" t="str">
        <f>_xlfn.XLOOKUP(Jnl[[#This Row],[Acct]], dict[Key], dict[Name],,0)</f>
        <v>银行</v>
      </c>
      <c r="R18" t="str">
        <f>_xlfn.XLOOKUP(Jnl[[#This Row],[Vehicle]],config_vehicle[Id], config_vehicle[Name],,0)</f>
        <v>郑术燕</v>
      </c>
    </row>
    <row r="19" spans="1:18">
      <c r="A19" s="10" t="s">
        <v>173</v>
      </c>
      <c r="B19" s="6">
        <f>_xlfn.XLOOKUP(Jnl[[#This Row],[TrxId]], Trx[Id], Trx[Date],,0)</f>
        <v>46022</v>
      </c>
      <c r="C19" s="6" t="str">
        <f>_xlfn.XLOOKUP(Jnl[[#This Row],[TrxId]], Trx[Id], Trx[Division],,0)</f>
        <v>Ctrl</v>
      </c>
      <c r="D19" s="6" t="str">
        <f>_xlfn.XLOOKUP(Jnl[[#This Row],[TrxId]], Trx[Id], Trx[Action],,0)</f>
        <v>forward</v>
      </c>
      <c r="E19" s="6" t="s">
        <v>91</v>
      </c>
      <c r="F19" s="10" t="s">
        <v>13</v>
      </c>
      <c r="G19" s="10" t="s">
        <v>116</v>
      </c>
      <c r="H19" s="21">
        <v>6917.42</v>
      </c>
      <c r="I19" s="11" t="b">
        <f>AND(Jnl[[#This Row],[TrxId]]&lt;&gt;"",Jnl[[#This Row],[Acct]]&lt;&gt;"",Jnl[[#This Row],[Item]]&lt;&gt;"",ISNUMBER(Jnl[[#This Row],[Bal]]))</f>
        <v>1</v>
      </c>
      <c r="J19" s="9">
        <f>IF(Jnl[[#This Row],[BSLv0]]="A",1,-1)*Jnl[[#This Row],[Bal]]</f>
        <v>6917.42</v>
      </c>
      <c r="K19" t="str">
        <f>_xlfn.XLOOKUP(Jnl[[#This Row],[Acct]], config_BS[Acct], config_BS[Lv0],,0)</f>
        <v>A</v>
      </c>
      <c r="L19" t="str">
        <f>_xlfn.XLOOKUP(Jnl[[#This Row],[Acct]], config_BS[Acct], config_BS[Lv1],,0)</f>
        <v>Assets</v>
      </c>
      <c r="M19" t="str">
        <f>_xlfn.XLOOKUP(Jnl[[#This Row],[Acct]], config_BS[Acct], config_BS[Lv2],,0)</f>
        <v>Cash</v>
      </c>
      <c r="N19" t="str">
        <f>_xlfn.XLOOKUP(Jnl[[#This Row],[TrxId]], Trx[Id], Trx[IncNode], ,0)</f>
        <v>Other</v>
      </c>
      <c r="O19" t="str">
        <f>_xlfn.XLOOKUP(Jnl[[#This Row],[IncNode]], config_IS[Node], config_IS[Type],,0)</f>
        <v>Non-Op</v>
      </c>
      <c r="P19" t="str">
        <f>_xlfn.XLOOKUP(Jnl[[#This Row],[BSLv2]], dict[Key], dict[Name],,0)</f>
        <v>0.现金</v>
      </c>
      <c r="Q19" t="str">
        <f>_xlfn.XLOOKUP(Jnl[[#This Row],[Acct]], dict[Key], dict[Name],,0)</f>
        <v>银行</v>
      </c>
      <c r="R19" t="str">
        <f>_xlfn.XLOOKUP(Jnl[[#This Row],[Vehicle]],config_vehicle[Id], config_vehicle[Name],,0)</f>
        <v>远家文化</v>
      </c>
    </row>
    <row r="20" spans="1:18">
      <c r="A20" s="10" t="s">
        <v>173</v>
      </c>
      <c r="B20" s="6">
        <f>_xlfn.XLOOKUP(Jnl[[#This Row],[TrxId]], Trx[Id], Trx[Date],,0)</f>
        <v>46022</v>
      </c>
      <c r="C20" s="6" t="str">
        <f>_xlfn.XLOOKUP(Jnl[[#This Row],[TrxId]], Trx[Id], Trx[Division],,0)</f>
        <v>Ctrl</v>
      </c>
      <c r="D20" s="6" t="str">
        <f>_xlfn.XLOOKUP(Jnl[[#This Row],[TrxId]], Trx[Id], Trx[Action],,0)</f>
        <v>forward</v>
      </c>
      <c r="E20" s="6" t="s">
        <v>119</v>
      </c>
      <c r="F20" s="10" t="s">
        <v>13</v>
      </c>
      <c r="G20" s="10" t="s">
        <v>117</v>
      </c>
      <c r="H20" s="21">
        <v>709.51</v>
      </c>
      <c r="I20" s="11" t="b">
        <f>AND(Jnl[[#This Row],[TrxId]]&lt;&gt;"",Jnl[[#This Row],[Acct]]&lt;&gt;"",Jnl[[#This Row],[Item]]&lt;&gt;"",ISNUMBER(Jnl[[#This Row],[Bal]]))</f>
        <v>1</v>
      </c>
      <c r="J20" s="9">
        <f>IF(Jnl[[#This Row],[BSLv0]]="A",1,-1)*Jnl[[#This Row],[Bal]]</f>
        <v>709.51</v>
      </c>
      <c r="K20" t="str">
        <f>_xlfn.XLOOKUP(Jnl[[#This Row],[Acct]], config_BS[Acct], config_BS[Lv0],,0)</f>
        <v>A</v>
      </c>
      <c r="L20" t="str">
        <f>_xlfn.XLOOKUP(Jnl[[#This Row],[Acct]], config_BS[Acct], config_BS[Lv1],,0)</f>
        <v>Assets</v>
      </c>
      <c r="M20" t="str">
        <f>_xlfn.XLOOKUP(Jnl[[#This Row],[Acct]], config_BS[Acct], config_BS[Lv2],,0)</f>
        <v>Cash</v>
      </c>
      <c r="N20" t="str">
        <f>_xlfn.XLOOKUP(Jnl[[#This Row],[TrxId]], Trx[Id], Trx[IncNode], ,0)</f>
        <v>Other</v>
      </c>
      <c r="O20" t="str">
        <f>_xlfn.XLOOKUP(Jnl[[#This Row],[IncNode]], config_IS[Node], config_IS[Type],,0)</f>
        <v>Non-Op</v>
      </c>
      <c r="P20" t="str">
        <f>_xlfn.XLOOKUP(Jnl[[#This Row],[BSLv2]], dict[Key], dict[Name],,0)</f>
        <v>0.现金</v>
      </c>
      <c r="Q20" t="str">
        <f>_xlfn.XLOOKUP(Jnl[[#This Row],[Acct]], dict[Key], dict[Name],,0)</f>
        <v>银行</v>
      </c>
      <c r="R20" t="str">
        <f>_xlfn.XLOOKUP(Jnl[[#This Row],[Vehicle]],config_vehicle[Id], config_vehicle[Name],,0)</f>
        <v>远家文化蒲江分公司</v>
      </c>
    </row>
    <row r="21" spans="1:18">
      <c r="A21" s="10" t="s">
        <v>173</v>
      </c>
      <c r="B21" s="6">
        <f>_xlfn.XLOOKUP(Jnl[[#This Row],[TrxId]], Trx[Id], Trx[Date],,0)</f>
        <v>46022</v>
      </c>
      <c r="C21" s="6" t="str">
        <f>_xlfn.XLOOKUP(Jnl[[#This Row],[TrxId]], Trx[Id], Trx[Division],,0)</f>
        <v>Ctrl</v>
      </c>
      <c r="D21" s="6" t="str">
        <f>_xlfn.XLOOKUP(Jnl[[#This Row],[TrxId]], Trx[Id], Trx[Action],,0)</f>
        <v>forward</v>
      </c>
      <c r="E21" s="6" t="s">
        <v>119</v>
      </c>
      <c r="F21" s="10" t="s">
        <v>16</v>
      </c>
      <c r="G21" s="10" t="s">
        <v>153</v>
      </c>
      <c r="H21" s="21">
        <v>20812</v>
      </c>
      <c r="I21" s="11" t="b">
        <f>AND(Jnl[[#This Row],[TrxId]]&lt;&gt;"",Jnl[[#This Row],[Acct]]&lt;&gt;"",Jnl[[#This Row],[Item]]&lt;&gt;"",ISNUMBER(Jnl[[#This Row],[Bal]]))</f>
        <v>1</v>
      </c>
      <c r="J21" s="9">
        <f>IF(Jnl[[#This Row],[BSLv0]]="A",1,-1)*Jnl[[#This Row],[Bal]]</f>
        <v>20812</v>
      </c>
      <c r="K21" t="str">
        <f>_xlfn.XLOOKUP(Jnl[[#This Row],[Acct]], config_BS[Acct], config_BS[Lv0],,0)</f>
        <v>A</v>
      </c>
      <c r="L21" t="str">
        <f>_xlfn.XLOOKUP(Jnl[[#This Row],[Acct]], config_BS[Acct], config_BS[Lv1],,0)</f>
        <v>Assets</v>
      </c>
      <c r="M21" t="str">
        <f>_xlfn.XLOOKUP(Jnl[[#This Row],[Acct]], config_BS[Acct], config_BS[Lv2],,0)</f>
        <v>Cash</v>
      </c>
      <c r="N21" t="str">
        <f>_xlfn.XLOOKUP(Jnl[[#This Row],[TrxId]], Trx[Id], Trx[IncNode], ,0)</f>
        <v>Other</v>
      </c>
      <c r="O21" t="str">
        <f>_xlfn.XLOOKUP(Jnl[[#This Row],[IncNode]], config_IS[Node], config_IS[Type],,0)</f>
        <v>Non-Op</v>
      </c>
      <c r="P21" t="str">
        <f>_xlfn.XLOOKUP(Jnl[[#This Row],[BSLv2]], dict[Key], dict[Name],,0)</f>
        <v>0.现金</v>
      </c>
      <c r="Q21" t="str">
        <f>_xlfn.XLOOKUP(Jnl[[#This Row],[Acct]], dict[Key], dict[Name],,0)</f>
        <v>物理现金</v>
      </c>
      <c r="R21" t="str">
        <f>_xlfn.XLOOKUP(Jnl[[#This Row],[Vehicle]],config_vehicle[Id], config_vehicle[Name],,0)</f>
        <v>远家文化蒲江分公司</v>
      </c>
    </row>
    <row r="22" spans="1:18">
      <c r="A22" s="10" t="s">
        <v>173</v>
      </c>
      <c r="B22" s="6">
        <f>_xlfn.XLOOKUP(Jnl[[#This Row],[TrxId]], Trx[Id], Trx[Date],,0)</f>
        <v>46022</v>
      </c>
      <c r="C22" s="6" t="str">
        <f>_xlfn.XLOOKUP(Jnl[[#This Row],[TrxId]], Trx[Id], Trx[Division],,0)</f>
        <v>Ctrl</v>
      </c>
      <c r="D22" s="6" t="str">
        <f>_xlfn.XLOOKUP(Jnl[[#This Row],[TrxId]], Trx[Id], Trx[Action],,0)</f>
        <v>forward</v>
      </c>
      <c r="E22" s="6" t="s">
        <v>123</v>
      </c>
      <c r="F22" s="10" t="s">
        <v>13</v>
      </c>
      <c r="G22" s="10" t="s">
        <v>120</v>
      </c>
      <c r="H22" s="21">
        <v>630993.46</v>
      </c>
      <c r="I22" s="11" t="b">
        <f>AND(Jnl[[#This Row],[TrxId]]&lt;&gt;"",Jnl[[#This Row],[Acct]]&lt;&gt;"",Jnl[[#This Row],[Item]]&lt;&gt;"",ISNUMBER(Jnl[[#This Row],[Bal]]))</f>
        <v>1</v>
      </c>
      <c r="J22" s="9">
        <f>IF(Jnl[[#This Row],[BSLv0]]="A",1,-1)*Jnl[[#This Row],[Bal]]</f>
        <v>630993.46</v>
      </c>
      <c r="K22" t="str">
        <f>_xlfn.XLOOKUP(Jnl[[#This Row],[Acct]], config_BS[Acct], config_BS[Lv0],,0)</f>
        <v>A</v>
      </c>
      <c r="L22" t="str">
        <f>_xlfn.XLOOKUP(Jnl[[#This Row],[Acct]], config_BS[Acct], config_BS[Lv1],,0)</f>
        <v>Assets</v>
      </c>
      <c r="M22" t="str">
        <f>_xlfn.XLOOKUP(Jnl[[#This Row],[Acct]], config_BS[Acct], config_BS[Lv2],,0)</f>
        <v>Cash</v>
      </c>
      <c r="N22" t="str">
        <f>_xlfn.XLOOKUP(Jnl[[#This Row],[TrxId]], Trx[Id], Trx[IncNode], ,0)</f>
        <v>Other</v>
      </c>
      <c r="O22" t="str">
        <f>_xlfn.XLOOKUP(Jnl[[#This Row],[IncNode]], config_IS[Node], config_IS[Type],,0)</f>
        <v>Non-Op</v>
      </c>
      <c r="P22" t="str">
        <f>_xlfn.XLOOKUP(Jnl[[#This Row],[BSLv2]], dict[Key], dict[Name],,0)</f>
        <v>0.现金</v>
      </c>
      <c r="Q22" t="str">
        <f>_xlfn.XLOOKUP(Jnl[[#This Row],[Acct]], dict[Key], dict[Name],,0)</f>
        <v>银行</v>
      </c>
      <c r="R22" t="str">
        <f>_xlfn.XLOOKUP(Jnl[[#This Row],[Vehicle]],config_vehicle[Id], config_vehicle[Name],,0)</f>
        <v>染匠文化</v>
      </c>
    </row>
    <row r="23" spans="1:18">
      <c r="A23" s="10" t="s">
        <v>173</v>
      </c>
      <c r="B23" s="6">
        <f>_xlfn.XLOOKUP(Jnl[[#This Row],[TrxId]], Trx[Id], Trx[Date],,0)</f>
        <v>46022</v>
      </c>
      <c r="C23" s="6" t="str">
        <f>_xlfn.XLOOKUP(Jnl[[#This Row],[TrxId]], Trx[Id], Trx[Division],,0)</f>
        <v>Ctrl</v>
      </c>
      <c r="D23" s="6" t="str">
        <f>_xlfn.XLOOKUP(Jnl[[#This Row],[TrxId]], Trx[Id], Trx[Action],,0)</f>
        <v>forward</v>
      </c>
      <c r="E23" s="6" t="s">
        <v>123</v>
      </c>
      <c r="F23" s="10" t="s">
        <v>13</v>
      </c>
      <c r="G23" s="10" t="s">
        <v>121</v>
      </c>
      <c r="H23" s="21">
        <v>20124.45</v>
      </c>
      <c r="I23" s="11" t="b">
        <f>AND(Jnl[[#This Row],[TrxId]]&lt;&gt;"",Jnl[[#This Row],[Acct]]&lt;&gt;"",Jnl[[#This Row],[Item]]&lt;&gt;"",ISNUMBER(Jnl[[#This Row],[Bal]]))</f>
        <v>1</v>
      </c>
      <c r="J23" s="9">
        <f>IF(Jnl[[#This Row],[BSLv0]]="A",1,-1)*Jnl[[#This Row],[Bal]]</f>
        <v>20124.45</v>
      </c>
      <c r="K23" t="str">
        <f>_xlfn.XLOOKUP(Jnl[[#This Row],[Acct]], config_BS[Acct], config_BS[Lv0],,0)</f>
        <v>A</v>
      </c>
      <c r="L23" t="str">
        <f>_xlfn.XLOOKUP(Jnl[[#This Row],[Acct]], config_BS[Acct], config_BS[Lv1],,0)</f>
        <v>Assets</v>
      </c>
      <c r="M23" t="str">
        <f>_xlfn.XLOOKUP(Jnl[[#This Row],[Acct]], config_BS[Acct], config_BS[Lv2],,0)</f>
        <v>Cash</v>
      </c>
      <c r="N23" t="str">
        <f>_xlfn.XLOOKUP(Jnl[[#This Row],[TrxId]], Trx[Id], Trx[IncNode], ,0)</f>
        <v>Other</v>
      </c>
      <c r="O23" t="str">
        <f>_xlfn.XLOOKUP(Jnl[[#This Row],[IncNode]], config_IS[Node], config_IS[Type],,0)</f>
        <v>Non-Op</v>
      </c>
      <c r="P23" t="str">
        <f>_xlfn.XLOOKUP(Jnl[[#This Row],[BSLv2]], dict[Key], dict[Name],,0)</f>
        <v>0.现金</v>
      </c>
      <c r="Q23" t="str">
        <f>_xlfn.XLOOKUP(Jnl[[#This Row],[Acct]], dict[Key], dict[Name],,0)</f>
        <v>银行</v>
      </c>
      <c r="R23" t="str">
        <f>_xlfn.XLOOKUP(Jnl[[#This Row],[Vehicle]],config_vehicle[Id], config_vehicle[Name],,0)</f>
        <v>染匠文化</v>
      </c>
    </row>
    <row r="24" spans="1:18">
      <c r="A24" s="10" t="s">
        <v>173</v>
      </c>
      <c r="B24" s="6">
        <f>_xlfn.XLOOKUP(Jnl[[#This Row],[TrxId]], Trx[Id], Trx[Date],,0)</f>
        <v>46022</v>
      </c>
      <c r="C24" s="6" t="str">
        <f>_xlfn.XLOOKUP(Jnl[[#This Row],[TrxId]], Trx[Id], Trx[Division],,0)</f>
        <v>Ctrl</v>
      </c>
      <c r="D24" s="6" t="str">
        <f>_xlfn.XLOOKUP(Jnl[[#This Row],[TrxId]], Trx[Id], Trx[Action],,0)</f>
        <v>forward</v>
      </c>
      <c r="E24" s="6" t="s">
        <v>89</v>
      </c>
      <c r="F24" s="10" t="s">
        <v>125</v>
      </c>
      <c r="G24" s="10" t="s">
        <v>158</v>
      </c>
      <c r="H24" s="21">
        <v>18526.13</v>
      </c>
      <c r="I24" s="11" t="b">
        <f>AND(Jnl[[#This Row],[TrxId]]&lt;&gt;"",Jnl[[#This Row],[Acct]]&lt;&gt;"",Jnl[[#This Row],[Item]]&lt;&gt;"",ISNUMBER(Jnl[[#This Row],[Bal]]))</f>
        <v>1</v>
      </c>
      <c r="J24" s="9">
        <f>IF(Jnl[[#This Row],[BSLv0]]="A",1,-1)*Jnl[[#This Row],[Bal]]</f>
        <v>18526.13</v>
      </c>
      <c r="K24" t="str">
        <f>_xlfn.XLOOKUP(Jnl[[#This Row],[Acct]], config_BS[Acct], config_BS[Lv0],,0)</f>
        <v>A</v>
      </c>
      <c r="L24" t="str">
        <f>_xlfn.XLOOKUP(Jnl[[#This Row],[Acct]], config_BS[Acct], config_BS[Lv1],,0)</f>
        <v>Assets</v>
      </c>
      <c r="M24" t="str">
        <f>_xlfn.XLOOKUP(Jnl[[#This Row],[Acct]], config_BS[Acct], config_BS[Lv2],,0)</f>
        <v>Rec-Pay</v>
      </c>
      <c r="N24" t="str">
        <f>_xlfn.XLOOKUP(Jnl[[#This Row],[TrxId]], Trx[Id], Trx[IncNode], ,0)</f>
        <v>Other</v>
      </c>
      <c r="O24" t="str">
        <f>_xlfn.XLOOKUP(Jnl[[#This Row],[IncNode]], config_IS[Node], config_IS[Type],,0)</f>
        <v>Non-Op</v>
      </c>
      <c r="P24" t="str">
        <f>_xlfn.XLOOKUP(Jnl[[#This Row],[BSLv2]], dict[Key], dict[Name],,0)</f>
        <v>1.应收-应付</v>
      </c>
      <c r="Q24" t="str">
        <f>_xlfn.XLOOKUP(Jnl[[#This Row],[Acct]], dict[Key], dict[Name],,0)</f>
        <v>应收-一般</v>
      </c>
      <c r="R24" t="str">
        <f>_xlfn.XLOOKUP(Jnl[[#This Row],[Vehicle]],config_vehicle[Id], config_vehicle[Name],,0)</f>
        <v>喜家文化</v>
      </c>
    </row>
    <row r="25" spans="1:18">
      <c r="A25" s="10" t="s">
        <v>173</v>
      </c>
      <c r="B25" s="6">
        <f>_xlfn.XLOOKUP(Jnl[[#This Row],[TrxId]], Trx[Id], Trx[Date],,0)</f>
        <v>46022</v>
      </c>
      <c r="C25" s="6" t="str">
        <f>_xlfn.XLOOKUP(Jnl[[#This Row],[TrxId]], Trx[Id], Trx[Division],,0)</f>
        <v>Ctrl</v>
      </c>
      <c r="D25" s="6" t="str">
        <f>_xlfn.XLOOKUP(Jnl[[#This Row],[TrxId]], Trx[Id], Trx[Action],,0)</f>
        <v>forward</v>
      </c>
      <c r="E25" s="6" t="s">
        <v>89</v>
      </c>
      <c r="F25" s="10" t="s">
        <v>125</v>
      </c>
      <c r="G25" s="10" t="s">
        <v>156</v>
      </c>
      <c r="H25" s="21">
        <v>2385.75</v>
      </c>
      <c r="I25" s="11" t="b">
        <f>AND(Jnl[[#This Row],[TrxId]]&lt;&gt;"",Jnl[[#This Row],[Acct]]&lt;&gt;"",Jnl[[#This Row],[Item]]&lt;&gt;"",ISNUMBER(Jnl[[#This Row],[Bal]]))</f>
        <v>1</v>
      </c>
      <c r="J25" s="9">
        <f>IF(Jnl[[#This Row],[BSLv0]]="A",1,-1)*Jnl[[#This Row],[Bal]]</f>
        <v>2385.75</v>
      </c>
      <c r="K25" t="str">
        <f>_xlfn.XLOOKUP(Jnl[[#This Row],[Acct]], config_BS[Acct], config_BS[Lv0],,0)</f>
        <v>A</v>
      </c>
      <c r="L25" t="str">
        <f>_xlfn.XLOOKUP(Jnl[[#This Row],[Acct]], config_BS[Acct], config_BS[Lv1],,0)</f>
        <v>Assets</v>
      </c>
      <c r="M25" t="str">
        <f>_xlfn.XLOOKUP(Jnl[[#This Row],[Acct]], config_BS[Acct], config_BS[Lv2],,0)</f>
        <v>Rec-Pay</v>
      </c>
      <c r="N25" t="str">
        <f>_xlfn.XLOOKUP(Jnl[[#This Row],[TrxId]], Trx[Id], Trx[IncNode], ,0)</f>
        <v>Other</v>
      </c>
      <c r="O25" t="str">
        <f>_xlfn.XLOOKUP(Jnl[[#This Row],[IncNode]], config_IS[Node], config_IS[Type],,0)</f>
        <v>Non-Op</v>
      </c>
      <c r="P25" t="str">
        <f>_xlfn.XLOOKUP(Jnl[[#This Row],[BSLv2]], dict[Key], dict[Name],,0)</f>
        <v>1.应收-应付</v>
      </c>
      <c r="Q25" t="str">
        <f>_xlfn.XLOOKUP(Jnl[[#This Row],[Acct]], dict[Key], dict[Name],,0)</f>
        <v>应收-一般</v>
      </c>
      <c r="R25" t="str">
        <f>_xlfn.XLOOKUP(Jnl[[#This Row],[Vehicle]],config_vehicle[Id], config_vehicle[Name],,0)</f>
        <v>喜家文化</v>
      </c>
    </row>
    <row r="26" spans="1:18">
      <c r="A26" s="10" t="s">
        <v>173</v>
      </c>
      <c r="B26" s="6">
        <f>_xlfn.XLOOKUP(Jnl[[#This Row],[TrxId]], Trx[Id], Trx[Date],,0)</f>
        <v>46022</v>
      </c>
      <c r="C26" s="6" t="str">
        <f>_xlfn.XLOOKUP(Jnl[[#This Row],[TrxId]], Trx[Id], Trx[Division],,0)</f>
        <v>Ctrl</v>
      </c>
      <c r="D26" s="6" t="str">
        <f>_xlfn.XLOOKUP(Jnl[[#This Row],[TrxId]], Trx[Id], Trx[Action],,0)</f>
        <v>forward</v>
      </c>
      <c r="E26" s="6" t="s">
        <v>89</v>
      </c>
      <c r="F26" s="10" t="s">
        <v>125</v>
      </c>
      <c r="G26" s="10" t="s">
        <v>159</v>
      </c>
      <c r="H26" s="21">
        <v>100000</v>
      </c>
      <c r="I26" s="11" t="b">
        <f>AND(Jnl[[#This Row],[TrxId]]&lt;&gt;"",Jnl[[#This Row],[Acct]]&lt;&gt;"",Jnl[[#This Row],[Item]]&lt;&gt;"",ISNUMBER(Jnl[[#This Row],[Bal]]))</f>
        <v>1</v>
      </c>
      <c r="J26" s="9">
        <f>IF(Jnl[[#This Row],[BSLv0]]="A",1,-1)*Jnl[[#This Row],[Bal]]</f>
        <v>100000</v>
      </c>
      <c r="K26" t="str">
        <f>_xlfn.XLOOKUP(Jnl[[#This Row],[Acct]], config_BS[Acct], config_BS[Lv0],,0)</f>
        <v>A</v>
      </c>
      <c r="L26" t="str">
        <f>_xlfn.XLOOKUP(Jnl[[#This Row],[Acct]], config_BS[Acct], config_BS[Lv1],,0)</f>
        <v>Assets</v>
      </c>
      <c r="M26" t="str">
        <f>_xlfn.XLOOKUP(Jnl[[#This Row],[Acct]], config_BS[Acct], config_BS[Lv2],,0)</f>
        <v>Rec-Pay</v>
      </c>
      <c r="N26" t="str">
        <f>_xlfn.XLOOKUP(Jnl[[#This Row],[TrxId]], Trx[Id], Trx[IncNode], ,0)</f>
        <v>Other</v>
      </c>
      <c r="O26" t="str">
        <f>_xlfn.XLOOKUP(Jnl[[#This Row],[IncNode]], config_IS[Node], config_IS[Type],,0)</f>
        <v>Non-Op</v>
      </c>
      <c r="P26" t="str">
        <f>_xlfn.XLOOKUP(Jnl[[#This Row],[BSLv2]], dict[Key], dict[Name],,0)</f>
        <v>1.应收-应付</v>
      </c>
      <c r="Q26" t="str">
        <f>_xlfn.XLOOKUP(Jnl[[#This Row],[Acct]], dict[Key], dict[Name],,0)</f>
        <v>应收-一般</v>
      </c>
      <c r="R26" t="str">
        <f>_xlfn.XLOOKUP(Jnl[[#This Row],[Vehicle]],config_vehicle[Id], config_vehicle[Name],,0)</f>
        <v>喜家文化</v>
      </c>
    </row>
    <row r="27" spans="1:18">
      <c r="A27" s="10" t="s">
        <v>173</v>
      </c>
      <c r="B27" s="6">
        <f>_xlfn.XLOOKUP(Jnl[[#This Row],[TrxId]], Trx[Id], Trx[Date],,0)</f>
        <v>46022</v>
      </c>
      <c r="C27" s="6" t="str">
        <f>_xlfn.XLOOKUP(Jnl[[#This Row],[TrxId]], Trx[Id], Trx[Division],,0)</f>
        <v>Ctrl</v>
      </c>
      <c r="D27" s="6" t="str">
        <f>_xlfn.XLOOKUP(Jnl[[#This Row],[TrxId]], Trx[Id], Trx[Action],,0)</f>
        <v>forward</v>
      </c>
      <c r="E27" s="6" t="s">
        <v>88</v>
      </c>
      <c r="F27" s="10" t="s">
        <v>125</v>
      </c>
      <c r="G27" s="10" t="s">
        <v>158</v>
      </c>
      <c r="H27" s="21">
        <v>289043.94</v>
      </c>
      <c r="I27" s="11" t="b">
        <f>AND(Jnl[[#This Row],[TrxId]]&lt;&gt;"",Jnl[[#This Row],[Acct]]&lt;&gt;"",Jnl[[#This Row],[Item]]&lt;&gt;"",ISNUMBER(Jnl[[#This Row],[Bal]]))</f>
        <v>1</v>
      </c>
      <c r="J27" s="9">
        <f>IF(Jnl[[#This Row],[BSLv0]]="A",1,-1)*Jnl[[#This Row],[Bal]]</f>
        <v>289043.94</v>
      </c>
      <c r="K27" t="str">
        <f>_xlfn.XLOOKUP(Jnl[[#This Row],[Acct]], config_BS[Acct], config_BS[Lv0],,0)</f>
        <v>A</v>
      </c>
      <c r="L27" t="str">
        <f>_xlfn.XLOOKUP(Jnl[[#This Row],[Acct]], config_BS[Acct], config_BS[Lv1],,0)</f>
        <v>Assets</v>
      </c>
      <c r="M27" t="str">
        <f>_xlfn.XLOOKUP(Jnl[[#This Row],[Acct]], config_BS[Acct], config_BS[Lv2],,0)</f>
        <v>Rec-Pay</v>
      </c>
      <c r="N27" t="str">
        <f>_xlfn.XLOOKUP(Jnl[[#This Row],[TrxId]], Trx[Id], Trx[IncNode], ,0)</f>
        <v>Other</v>
      </c>
      <c r="O27" t="str">
        <f>_xlfn.XLOOKUP(Jnl[[#This Row],[IncNode]], config_IS[Node], config_IS[Type],,0)</f>
        <v>Non-Op</v>
      </c>
      <c r="P27" t="str">
        <f>_xlfn.XLOOKUP(Jnl[[#This Row],[BSLv2]], dict[Key], dict[Name],,0)</f>
        <v>1.应收-应付</v>
      </c>
      <c r="Q27" t="str">
        <f>_xlfn.XLOOKUP(Jnl[[#This Row],[Acct]], dict[Key], dict[Name],,0)</f>
        <v>应收-一般</v>
      </c>
      <c r="R27" t="str">
        <f>_xlfn.XLOOKUP(Jnl[[#This Row],[Vehicle]],config_vehicle[Id], config_vehicle[Name],,0)</f>
        <v>远家花园</v>
      </c>
    </row>
    <row r="28" spans="1:18">
      <c r="A28" s="10" t="s">
        <v>173</v>
      </c>
      <c r="B28" s="6">
        <f>_xlfn.XLOOKUP(Jnl[[#This Row],[TrxId]], Trx[Id], Trx[Date],,0)</f>
        <v>46022</v>
      </c>
      <c r="C28" s="6" t="str">
        <f>_xlfn.XLOOKUP(Jnl[[#This Row],[TrxId]], Trx[Id], Trx[Division],,0)</f>
        <v>Ctrl</v>
      </c>
      <c r="D28" s="6" t="str">
        <f>_xlfn.XLOOKUP(Jnl[[#This Row],[TrxId]], Trx[Id], Trx[Action],,0)</f>
        <v>forward</v>
      </c>
      <c r="E28" s="6" t="s">
        <v>88</v>
      </c>
      <c r="F28" s="10" t="s">
        <v>125</v>
      </c>
      <c r="G28" s="10" t="s">
        <v>156</v>
      </c>
      <c r="H28" s="21">
        <v>24591.75</v>
      </c>
      <c r="I28" s="11" t="b">
        <f>AND(Jnl[[#This Row],[TrxId]]&lt;&gt;"",Jnl[[#This Row],[Acct]]&lt;&gt;"",Jnl[[#This Row],[Item]]&lt;&gt;"",ISNUMBER(Jnl[[#This Row],[Bal]]))</f>
        <v>1</v>
      </c>
      <c r="J28" s="9">
        <f>IF(Jnl[[#This Row],[BSLv0]]="A",1,-1)*Jnl[[#This Row],[Bal]]</f>
        <v>24591.75</v>
      </c>
      <c r="K28" t="str">
        <f>_xlfn.XLOOKUP(Jnl[[#This Row],[Acct]], config_BS[Acct], config_BS[Lv0],,0)</f>
        <v>A</v>
      </c>
      <c r="L28" t="str">
        <f>_xlfn.XLOOKUP(Jnl[[#This Row],[Acct]], config_BS[Acct], config_BS[Lv1],,0)</f>
        <v>Assets</v>
      </c>
      <c r="M28" t="str">
        <f>_xlfn.XLOOKUP(Jnl[[#This Row],[Acct]], config_BS[Acct], config_BS[Lv2],,0)</f>
        <v>Rec-Pay</v>
      </c>
      <c r="N28" t="str">
        <f>_xlfn.XLOOKUP(Jnl[[#This Row],[TrxId]], Trx[Id], Trx[IncNode], ,0)</f>
        <v>Other</v>
      </c>
      <c r="O28" t="str">
        <f>_xlfn.XLOOKUP(Jnl[[#This Row],[IncNode]], config_IS[Node], config_IS[Type],,0)</f>
        <v>Non-Op</v>
      </c>
      <c r="P28" t="str">
        <f>_xlfn.XLOOKUP(Jnl[[#This Row],[BSLv2]], dict[Key], dict[Name],,0)</f>
        <v>1.应收-应付</v>
      </c>
      <c r="Q28" t="str">
        <f>_xlfn.XLOOKUP(Jnl[[#This Row],[Acct]], dict[Key], dict[Name],,0)</f>
        <v>应收-一般</v>
      </c>
      <c r="R28" t="str">
        <f>_xlfn.XLOOKUP(Jnl[[#This Row],[Vehicle]],config_vehicle[Id], config_vehicle[Name],,0)</f>
        <v>远家花园</v>
      </c>
    </row>
    <row r="29" spans="1:18">
      <c r="A29" s="10" t="s">
        <v>173</v>
      </c>
      <c r="B29" s="6">
        <f>_xlfn.XLOOKUP(Jnl[[#This Row],[TrxId]], Trx[Id], Trx[Date],,0)</f>
        <v>46022</v>
      </c>
      <c r="C29" s="6" t="str">
        <f>_xlfn.XLOOKUP(Jnl[[#This Row],[TrxId]], Trx[Id], Trx[Division],,0)</f>
        <v>Ctrl</v>
      </c>
      <c r="D29" s="6" t="str">
        <f>_xlfn.XLOOKUP(Jnl[[#This Row],[TrxId]], Trx[Id], Trx[Action],,0)</f>
        <v>forward</v>
      </c>
      <c r="E29" s="6" t="s">
        <v>88</v>
      </c>
      <c r="F29" s="10" t="s">
        <v>125</v>
      </c>
      <c r="G29" s="10" t="s">
        <v>159</v>
      </c>
      <c r="H29" s="21">
        <v>66888.95</v>
      </c>
      <c r="I29" s="11" t="b">
        <f>AND(Jnl[[#This Row],[TrxId]]&lt;&gt;"",Jnl[[#This Row],[Acct]]&lt;&gt;"",Jnl[[#This Row],[Item]]&lt;&gt;"",ISNUMBER(Jnl[[#This Row],[Bal]]))</f>
        <v>1</v>
      </c>
      <c r="J29" s="9">
        <f>IF(Jnl[[#This Row],[BSLv0]]="A",1,-1)*Jnl[[#This Row],[Bal]]</f>
        <v>66888.95</v>
      </c>
      <c r="K29" t="str">
        <f>_xlfn.XLOOKUP(Jnl[[#This Row],[Acct]], config_BS[Acct], config_BS[Lv0],,0)</f>
        <v>A</v>
      </c>
      <c r="L29" t="str">
        <f>_xlfn.XLOOKUP(Jnl[[#This Row],[Acct]], config_BS[Acct], config_BS[Lv1],,0)</f>
        <v>Assets</v>
      </c>
      <c r="M29" t="str">
        <f>_xlfn.XLOOKUP(Jnl[[#This Row],[Acct]], config_BS[Acct], config_BS[Lv2],,0)</f>
        <v>Rec-Pay</v>
      </c>
      <c r="N29" t="str">
        <f>_xlfn.XLOOKUP(Jnl[[#This Row],[TrxId]], Trx[Id], Trx[IncNode], ,0)</f>
        <v>Other</v>
      </c>
      <c r="O29" t="str">
        <f>_xlfn.XLOOKUP(Jnl[[#This Row],[IncNode]], config_IS[Node], config_IS[Type],,0)</f>
        <v>Non-Op</v>
      </c>
      <c r="P29" t="str">
        <f>_xlfn.XLOOKUP(Jnl[[#This Row],[BSLv2]], dict[Key], dict[Name],,0)</f>
        <v>1.应收-应付</v>
      </c>
      <c r="Q29" t="str">
        <f>_xlfn.XLOOKUP(Jnl[[#This Row],[Acct]], dict[Key], dict[Name],,0)</f>
        <v>应收-一般</v>
      </c>
      <c r="R29" t="str">
        <f>_xlfn.XLOOKUP(Jnl[[#This Row],[Vehicle]],config_vehicle[Id], config_vehicle[Name],,0)</f>
        <v>远家花园</v>
      </c>
    </row>
    <row r="30" spans="1:18">
      <c r="A30" s="10" t="s">
        <v>173</v>
      </c>
      <c r="B30" s="6">
        <f>_xlfn.XLOOKUP(Jnl[[#This Row],[TrxId]], Trx[Id], Trx[Date],,0)</f>
        <v>46022</v>
      </c>
      <c r="C30" s="6" t="str">
        <f>_xlfn.XLOOKUP(Jnl[[#This Row],[TrxId]], Trx[Id], Trx[Division],,0)</f>
        <v>Ctrl</v>
      </c>
      <c r="D30" s="6" t="str">
        <f>_xlfn.XLOOKUP(Jnl[[#This Row],[TrxId]], Trx[Id], Trx[Action],,0)</f>
        <v>forward</v>
      </c>
      <c r="E30" s="6" t="s">
        <v>118</v>
      </c>
      <c r="F30" s="10" t="s">
        <v>125</v>
      </c>
      <c r="G30" s="10" t="s">
        <v>158</v>
      </c>
      <c r="H30" s="21">
        <v>4640.3</v>
      </c>
      <c r="I30" s="11" t="b">
        <f>AND(Jnl[[#This Row],[TrxId]]&lt;&gt;"",Jnl[[#This Row],[Acct]]&lt;&gt;"",Jnl[[#This Row],[Item]]&lt;&gt;"",ISNUMBER(Jnl[[#This Row],[Bal]]))</f>
        <v>1</v>
      </c>
      <c r="J30" s="9">
        <f>IF(Jnl[[#This Row],[BSLv0]]="A",1,-1)*Jnl[[#This Row],[Bal]]</f>
        <v>4640.3</v>
      </c>
      <c r="K30" t="str">
        <f>_xlfn.XLOOKUP(Jnl[[#This Row],[Acct]], config_BS[Acct], config_BS[Lv0],,0)</f>
        <v>A</v>
      </c>
      <c r="L30" t="str">
        <f>_xlfn.XLOOKUP(Jnl[[#This Row],[Acct]], config_BS[Acct], config_BS[Lv1],,0)</f>
        <v>Assets</v>
      </c>
      <c r="M30" t="str">
        <f>_xlfn.XLOOKUP(Jnl[[#This Row],[Acct]], config_BS[Acct], config_BS[Lv2],,0)</f>
        <v>Rec-Pay</v>
      </c>
      <c r="N30" t="str">
        <f>_xlfn.XLOOKUP(Jnl[[#This Row],[TrxId]], Trx[Id], Trx[IncNode], ,0)</f>
        <v>Other</v>
      </c>
      <c r="O30" t="str">
        <f>_xlfn.XLOOKUP(Jnl[[#This Row],[IncNode]], config_IS[Node], config_IS[Type],,0)</f>
        <v>Non-Op</v>
      </c>
      <c r="P30" t="str">
        <f>_xlfn.XLOOKUP(Jnl[[#This Row],[BSLv2]], dict[Key], dict[Name],,0)</f>
        <v>1.应收-应付</v>
      </c>
      <c r="Q30" t="str">
        <f>_xlfn.XLOOKUP(Jnl[[#This Row],[Acct]], dict[Key], dict[Name],,0)</f>
        <v>应收-一般</v>
      </c>
      <c r="R30" t="str">
        <f>_xlfn.XLOOKUP(Jnl[[#This Row],[Vehicle]],config_vehicle[Id], config_vehicle[Name],,0)</f>
        <v>远家花园高新分公司</v>
      </c>
    </row>
    <row r="31" spans="1:18">
      <c r="A31" s="10" t="s">
        <v>173</v>
      </c>
      <c r="B31" s="6">
        <f>_xlfn.XLOOKUP(Jnl[[#This Row],[TrxId]], Trx[Id], Trx[Date],,0)</f>
        <v>46022</v>
      </c>
      <c r="C31" s="6" t="str">
        <f>_xlfn.XLOOKUP(Jnl[[#This Row],[TrxId]], Trx[Id], Trx[Division],,0)</f>
        <v>Ctrl</v>
      </c>
      <c r="D31" s="6" t="str">
        <f>_xlfn.XLOOKUP(Jnl[[#This Row],[TrxId]], Trx[Id], Trx[Action],,0)</f>
        <v>forward</v>
      </c>
      <c r="E31" s="6" t="s">
        <v>118</v>
      </c>
      <c r="F31" s="10" t="s">
        <v>125</v>
      </c>
      <c r="G31" s="10" t="s">
        <v>156</v>
      </c>
      <c r="H31" s="21">
        <v>1474.3</v>
      </c>
      <c r="I31" s="11" t="b">
        <f>AND(Jnl[[#This Row],[TrxId]]&lt;&gt;"",Jnl[[#This Row],[Acct]]&lt;&gt;"",Jnl[[#This Row],[Item]]&lt;&gt;"",ISNUMBER(Jnl[[#This Row],[Bal]]))</f>
        <v>1</v>
      </c>
      <c r="J31" s="9">
        <f>IF(Jnl[[#This Row],[BSLv0]]="A",1,-1)*Jnl[[#This Row],[Bal]]</f>
        <v>1474.3</v>
      </c>
      <c r="K31" t="str">
        <f>_xlfn.XLOOKUP(Jnl[[#This Row],[Acct]], config_BS[Acct], config_BS[Lv0],,0)</f>
        <v>A</v>
      </c>
      <c r="L31" t="str">
        <f>_xlfn.XLOOKUP(Jnl[[#This Row],[Acct]], config_BS[Acct], config_BS[Lv1],,0)</f>
        <v>Assets</v>
      </c>
      <c r="M31" t="str">
        <f>_xlfn.XLOOKUP(Jnl[[#This Row],[Acct]], config_BS[Acct], config_BS[Lv2],,0)</f>
        <v>Rec-Pay</v>
      </c>
      <c r="N31" t="str">
        <f>_xlfn.XLOOKUP(Jnl[[#This Row],[TrxId]], Trx[Id], Trx[IncNode], ,0)</f>
        <v>Other</v>
      </c>
      <c r="O31" t="str">
        <f>_xlfn.XLOOKUP(Jnl[[#This Row],[IncNode]], config_IS[Node], config_IS[Type],,0)</f>
        <v>Non-Op</v>
      </c>
      <c r="P31" t="str">
        <f>_xlfn.XLOOKUP(Jnl[[#This Row],[BSLv2]], dict[Key], dict[Name],,0)</f>
        <v>1.应收-应付</v>
      </c>
      <c r="Q31" t="str">
        <f>_xlfn.XLOOKUP(Jnl[[#This Row],[Acct]], dict[Key], dict[Name],,0)</f>
        <v>应收-一般</v>
      </c>
      <c r="R31" t="str">
        <f>_xlfn.XLOOKUP(Jnl[[#This Row],[Vehicle]],config_vehicle[Id], config_vehicle[Name],,0)</f>
        <v>远家花园高新分公司</v>
      </c>
    </row>
    <row r="32" spans="1:18">
      <c r="A32" s="10" t="s">
        <v>173</v>
      </c>
      <c r="B32" s="6">
        <f>_xlfn.XLOOKUP(Jnl[[#This Row],[TrxId]], Trx[Id], Trx[Date],,0)</f>
        <v>46022</v>
      </c>
      <c r="C32" s="6" t="str">
        <f>_xlfn.XLOOKUP(Jnl[[#This Row],[TrxId]], Trx[Id], Trx[Division],,0)</f>
        <v>Ctrl</v>
      </c>
      <c r="D32" s="6" t="str">
        <f>_xlfn.XLOOKUP(Jnl[[#This Row],[TrxId]], Trx[Id], Trx[Action],,0)</f>
        <v>forward</v>
      </c>
      <c r="E32" s="6" t="s">
        <v>123</v>
      </c>
      <c r="F32" s="10" t="s">
        <v>125</v>
      </c>
      <c r="G32" s="10" t="s">
        <v>156</v>
      </c>
      <c r="H32" s="21">
        <v>3340.05</v>
      </c>
      <c r="I32" s="11" t="b">
        <f>AND(Jnl[[#This Row],[TrxId]]&lt;&gt;"",Jnl[[#This Row],[Acct]]&lt;&gt;"",Jnl[[#This Row],[Item]]&lt;&gt;"",ISNUMBER(Jnl[[#This Row],[Bal]]))</f>
        <v>1</v>
      </c>
      <c r="J32" s="9">
        <f>IF(Jnl[[#This Row],[BSLv0]]="A",1,-1)*Jnl[[#This Row],[Bal]]</f>
        <v>3340.05</v>
      </c>
      <c r="K32" t="str">
        <f>_xlfn.XLOOKUP(Jnl[[#This Row],[Acct]], config_BS[Acct], config_BS[Lv0],,0)</f>
        <v>A</v>
      </c>
      <c r="L32" t="str">
        <f>_xlfn.XLOOKUP(Jnl[[#This Row],[Acct]], config_BS[Acct], config_BS[Lv1],,0)</f>
        <v>Assets</v>
      </c>
      <c r="M32" t="str">
        <f>_xlfn.XLOOKUP(Jnl[[#This Row],[Acct]], config_BS[Acct], config_BS[Lv2],,0)</f>
        <v>Rec-Pay</v>
      </c>
      <c r="N32" t="str">
        <f>_xlfn.XLOOKUP(Jnl[[#This Row],[TrxId]], Trx[Id], Trx[IncNode], ,0)</f>
        <v>Other</v>
      </c>
      <c r="O32" t="str">
        <f>_xlfn.XLOOKUP(Jnl[[#This Row],[IncNode]], config_IS[Node], config_IS[Type],,0)</f>
        <v>Non-Op</v>
      </c>
      <c r="P32" t="str">
        <f>_xlfn.XLOOKUP(Jnl[[#This Row],[BSLv2]], dict[Key], dict[Name],,0)</f>
        <v>1.应收-应付</v>
      </c>
      <c r="Q32" t="str">
        <f>_xlfn.XLOOKUP(Jnl[[#This Row],[Acct]], dict[Key], dict[Name],,0)</f>
        <v>应收-一般</v>
      </c>
      <c r="R32" t="str">
        <f>_xlfn.XLOOKUP(Jnl[[#This Row],[Vehicle]],config_vehicle[Id], config_vehicle[Name],,0)</f>
        <v>染匠文化</v>
      </c>
    </row>
    <row r="33" spans="1:18">
      <c r="A33" s="10" t="s">
        <v>173</v>
      </c>
      <c r="B33" s="6">
        <f>_xlfn.XLOOKUP(Jnl[[#This Row],[TrxId]], Trx[Id], Trx[Date],,0)</f>
        <v>46022</v>
      </c>
      <c r="C33" s="6" t="str">
        <f>_xlfn.XLOOKUP(Jnl[[#This Row],[TrxId]], Trx[Id], Trx[Division],,0)</f>
        <v>Ctrl</v>
      </c>
      <c r="D33" s="6" t="str">
        <f>_xlfn.XLOOKUP(Jnl[[#This Row],[TrxId]], Trx[Id], Trx[Action],,0)</f>
        <v>forward</v>
      </c>
      <c r="E33" s="6" t="s">
        <v>92</v>
      </c>
      <c r="F33" s="10" t="s">
        <v>125</v>
      </c>
      <c r="G33" s="10" t="s">
        <v>156</v>
      </c>
      <c r="H33" s="21">
        <v>14294.35</v>
      </c>
      <c r="I33" s="11" t="b">
        <f>AND(Jnl[[#This Row],[TrxId]]&lt;&gt;"",Jnl[[#This Row],[Acct]]&lt;&gt;"",Jnl[[#This Row],[Item]]&lt;&gt;"",ISNUMBER(Jnl[[#This Row],[Bal]]))</f>
        <v>1</v>
      </c>
      <c r="J33" s="9">
        <f>IF(Jnl[[#This Row],[BSLv0]]="A",1,-1)*Jnl[[#This Row],[Bal]]</f>
        <v>14294.35</v>
      </c>
      <c r="K33" t="str">
        <f>_xlfn.XLOOKUP(Jnl[[#This Row],[Acct]], config_BS[Acct], config_BS[Lv0],,0)</f>
        <v>A</v>
      </c>
      <c r="L33" t="str">
        <f>_xlfn.XLOOKUP(Jnl[[#This Row],[Acct]], config_BS[Acct], config_BS[Lv1],,0)</f>
        <v>Assets</v>
      </c>
      <c r="M33" t="str">
        <f>_xlfn.XLOOKUP(Jnl[[#This Row],[Acct]], config_BS[Acct], config_BS[Lv2],,0)</f>
        <v>Rec-Pay</v>
      </c>
      <c r="N33" t="str">
        <f>_xlfn.XLOOKUP(Jnl[[#This Row],[TrxId]], Trx[Id], Trx[IncNode], ,0)</f>
        <v>Other</v>
      </c>
      <c r="O33" t="str">
        <f>_xlfn.XLOOKUP(Jnl[[#This Row],[IncNode]], config_IS[Node], config_IS[Type],,0)</f>
        <v>Non-Op</v>
      </c>
      <c r="P33" t="str">
        <f>_xlfn.XLOOKUP(Jnl[[#This Row],[BSLv2]], dict[Key], dict[Name],,0)</f>
        <v>1.应收-应付</v>
      </c>
      <c r="Q33" t="str">
        <f>_xlfn.XLOOKUP(Jnl[[#This Row],[Acct]], dict[Key], dict[Name],,0)</f>
        <v>应收-一般</v>
      </c>
      <c r="R33" t="str">
        <f>_xlfn.XLOOKUP(Jnl[[#This Row],[Vehicle]],config_vehicle[Id], config_vehicle[Name],,0)</f>
        <v>榆乐</v>
      </c>
    </row>
    <row r="34" spans="1:18">
      <c r="A34" s="10" t="s">
        <v>173</v>
      </c>
      <c r="B34" s="6">
        <f>_xlfn.XLOOKUP(Jnl[[#This Row],[TrxId]], Trx[Id], Trx[Date],,0)</f>
        <v>46022</v>
      </c>
      <c r="C34" s="6" t="str">
        <f>_xlfn.XLOOKUP(Jnl[[#This Row],[TrxId]], Trx[Id], Trx[Division],,0)</f>
        <v>Ctrl</v>
      </c>
      <c r="D34" s="6" t="str">
        <f>_xlfn.XLOOKUP(Jnl[[#This Row],[TrxId]], Trx[Id], Trx[Action],,0)</f>
        <v>forward</v>
      </c>
      <c r="E34" s="6" t="s">
        <v>93</v>
      </c>
      <c r="F34" s="10" t="s">
        <v>125</v>
      </c>
      <c r="G34" s="10" t="s">
        <v>156</v>
      </c>
      <c r="H34" s="21">
        <v>1431.45</v>
      </c>
      <c r="I34" s="11" t="b">
        <f>AND(Jnl[[#This Row],[TrxId]]&lt;&gt;"",Jnl[[#This Row],[Acct]]&lt;&gt;"",Jnl[[#This Row],[Item]]&lt;&gt;"",ISNUMBER(Jnl[[#This Row],[Bal]]))</f>
        <v>1</v>
      </c>
      <c r="J34" s="9">
        <f>IF(Jnl[[#This Row],[BSLv0]]="A",1,-1)*Jnl[[#This Row],[Bal]]</f>
        <v>1431.45</v>
      </c>
      <c r="K34" t="str">
        <f>_xlfn.XLOOKUP(Jnl[[#This Row],[Acct]], config_BS[Acct], config_BS[Lv0],,0)</f>
        <v>A</v>
      </c>
      <c r="L34" t="str">
        <f>_xlfn.XLOOKUP(Jnl[[#This Row],[Acct]], config_BS[Acct], config_BS[Lv1],,0)</f>
        <v>Assets</v>
      </c>
      <c r="M34" t="str">
        <f>_xlfn.XLOOKUP(Jnl[[#This Row],[Acct]], config_BS[Acct], config_BS[Lv2],,0)</f>
        <v>Rec-Pay</v>
      </c>
      <c r="N34" t="str">
        <f>_xlfn.XLOOKUP(Jnl[[#This Row],[TrxId]], Trx[Id], Trx[IncNode], ,0)</f>
        <v>Other</v>
      </c>
      <c r="O34" t="str">
        <f>_xlfn.XLOOKUP(Jnl[[#This Row],[IncNode]], config_IS[Node], config_IS[Type],,0)</f>
        <v>Non-Op</v>
      </c>
      <c r="P34" t="str">
        <f>_xlfn.XLOOKUP(Jnl[[#This Row],[BSLv2]], dict[Key], dict[Name],,0)</f>
        <v>1.应收-应付</v>
      </c>
      <c r="Q34" t="str">
        <f>_xlfn.XLOOKUP(Jnl[[#This Row],[Acct]], dict[Key], dict[Name],,0)</f>
        <v>应收-一般</v>
      </c>
      <c r="R34" t="str">
        <f>_xlfn.XLOOKUP(Jnl[[#This Row],[Vehicle]],config_vehicle[Id], config_vehicle[Name],,0)</f>
        <v>桑木</v>
      </c>
    </row>
    <row r="35" spans="1:18">
      <c r="A35" s="10" t="s">
        <v>173</v>
      </c>
      <c r="B35" s="6">
        <f>_xlfn.XLOOKUP(Jnl[[#This Row],[TrxId]], Trx[Id], Trx[Date],,0)</f>
        <v>46022</v>
      </c>
      <c r="C35" s="6" t="str">
        <f>_xlfn.XLOOKUP(Jnl[[#This Row],[TrxId]], Trx[Id], Trx[Division],,0)</f>
        <v>Ctrl</v>
      </c>
      <c r="D35" s="6" t="str">
        <f>_xlfn.XLOOKUP(Jnl[[#This Row],[TrxId]], Trx[Id], Trx[Action],,0)</f>
        <v>forward</v>
      </c>
      <c r="E35" s="6" t="s">
        <v>90</v>
      </c>
      <c r="F35" s="10" t="s">
        <v>125</v>
      </c>
      <c r="G35" s="10" t="s">
        <v>156</v>
      </c>
      <c r="H35" s="21">
        <v>11451.6</v>
      </c>
      <c r="I35" s="11" t="b">
        <f>AND(Jnl[[#This Row],[TrxId]]&lt;&gt;"",Jnl[[#This Row],[Acct]]&lt;&gt;"",Jnl[[#This Row],[Item]]&lt;&gt;"",ISNUMBER(Jnl[[#This Row],[Bal]]))</f>
        <v>1</v>
      </c>
      <c r="J35" s="9">
        <f>IF(Jnl[[#This Row],[BSLv0]]="A",1,-1)*Jnl[[#This Row],[Bal]]</f>
        <v>11451.6</v>
      </c>
      <c r="K35" t="str">
        <f>_xlfn.XLOOKUP(Jnl[[#This Row],[Acct]], config_BS[Acct], config_BS[Lv0],,0)</f>
        <v>A</v>
      </c>
      <c r="L35" t="str">
        <f>_xlfn.XLOOKUP(Jnl[[#This Row],[Acct]], config_BS[Acct], config_BS[Lv1],,0)</f>
        <v>Assets</v>
      </c>
      <c r="M35" t="str">
        <f>_xlfn.XLOOKUP(Jnl[[#This Row],[Acct]], config_BS[Acct], config_BS[Lv2],,0)</f>
        <v>Rec-Pay</v>
      </c>
      <c r="N35" t="str">
        <f>_xlfn.XLOOKUP(Jnl[[#This Row],[TrxId]], Trx[Id], Trx[IncNode], ,0)</f>
        <v>Other</v>
      </c>
      <c r="O35" t="str">
        <f>_xlfn.XLOOKUP(Jnl[[#This Row],[IncNode]], config_IS[Node], config_IS[Type],,0)</f>
        <v>Non-Op</v>
      </c>
      <c r="P35" t="str">
        <f>_xlfn.XLOOKUP(Jnl[[#This Row],[BSLv2]], dict[Key], dict[Name],,0)</f>
        <v>1.应收-应付</v>
      </c>
      <c r="Q35" t="str">
        <f>_xlfn.XLOOKUP(Jnl[[#This Row],[Acct]], dict[Key], dict[Name],,0)</f>
        <v>应收-一般</v>
      </c>
      <c r="R35" t="str">
        <f>_xlfn.XLOOKUP(Jnl[[#This Row],[Vehicle]],config_vehicle[Id], config_vehicle[Name],,0)</f>
        <v>米小易</v>
      </c>
    </row>
    <row r="36" spans="1:18">
      <c r="A36" s="10" t="s">
        <v>173</v>
      </c>
      <c r="B36" s="6">
        <f>_xlfn.XLOOKUP(Jnl[[#This Row],[TrxId]], Trx[Id], Trx[Date],,0)</f>
        <v>46022</v>
      </c>
      <c r="C36" s="6" t="str">
        <f>_xlfn.XLOOKUP(Jnl[[#This Row],[TrxId]], Trx[Id], Trx[Division],,0)</f>
        <v>Ctrl</v>
      </c>
      <c r="D36" s="6" t="str">
        <f>_xlfn.XLOOKUP(Jnl[[#This Row],[TrxId]], Trx[Id], Trx[Action],,0)</f>
        <v>forward</v>
      </c>
      <c r="E36" s="6" t="s">
        <v>90</v>
      </c>
      <c r="F36" s="10" t="s">
        <v>125</v>
      </c>
      <c r="G36" s="10" t="s">
        <v>159</v>
      </c>
      <c r="H36" s="21">
        <v>4000</v>
      </c>
      <c r="I36" s="11" t="b">
        <f>AND(Jnl[[#This Row],[TrxId]]&lt;&gt;"",Jnl[[#This Row],[Acct]]&lt;&gt;"",Jnl[[#This Row],[Item]]&lt;&gt;"",ISNUMBER(Jnl[[#This Row],[Bal]]))</f>
        <v>1</v>
      </c>
      <c r="J36" s="9">
        <f>IF(Jnl[[#This Row],[BSLv0]]="A",1,-1)*Jnl[[#This Row],[Bal]]</f>
        <v>4000</v>
      </c>
      <c r="K36" t="str">
        <f>_xlfn.XLOOKUP(Jnl[[#This Row],[Acct]], config_BS[Acct], config_BS[Lv0],,0)</f>
        <v>A</v>
      </c>
      <c r="L36" t="str">
        <f>_xlfn.XLOOKUP(Jnl[[#This Row],[Acct]], config_BS[Acct], config_BS[Lv1],,0)</f>
        <v>Assets</v>
      </c>
      <c r="M36" t="str">
        <f>_xlfn.XLOOKUP(Jnl[[#This Row],[Acct]], config_BS[Acct], config_BS[Lv2],,0)</f>
        <v>Rec-Pay</v>
      </c>
      <c r="N36" t="str">
        <f>_xlfn.XLOOKUP(Jnl[[#This Row],[TrxId]], Trx[Id], Trx[IncNode], ,0)</f>
        <v>Other</v>
      </c>
      <c r="O36" t="str">
        <f>_xlfn.XLOOKUP(Jnl[[#This Row],[IncNode]], config_IS[Node], config_IS[Type],,0)</f>
        <v>Non-Op</v>
      </c>
      <c r="P36" t="str">
        <f>_xlfn.XLOOKUP(Jnl[[#This Row],[BSLv2]], dict[Key], dict[Name],,0)</f>
        <v>1.应收-应付</v>
      </c>
      <c r="Q36" t="str">
        <f>_xlfn.XLOOKUP(Jnl[[#This Row],[Acct]], dict[Key], dict[Name],,0)</f>
        <v>应收-一般</v>
      </c>
      <c r="R36" t="str">
        <f>_xlfn.XLOOKUP(Jnl[[#This Row],[Vehicle]],config_vehicle[Id], config_vehicle[Name],,0)</f>
        <v>米小易</v>
      </c>
    </row>
    <row r="37" spans="1:18">
      <c r="A37" s="10" t="s">
        <v>173</v>
      </c>
      <c r="B37" s="6">
        <f>_xlfn.XLOOKUP(Jnl[[#This Row],[TrxId]], Trx[Id], Trx[Date],,0)</f>
        <v>46022</v>
      </c>
      <c r="C37" s="6" t="str">
        <f>_xlfn.XLOOKUP(Jnl[[#This Row],[TrxId]], Trx[Id], Trx[Division],,0)</f>
        <v>Ctrl</v>
      </c>
      <c r="D37" s="6" t="str">
        <f>_xlfn.XLOOKUP(Jnl[[#This Row],[TrxId]], Trx[Id], Trx[Action],,0)</f>
        <v>forward</v>
      </c>
      <c r="E37" s="6" t="s">
        <v>90</v>
      </c>
      <c r="F37" s="10" t="s">
        <v>125</v>
      </c>
      <c r="G37" s="10" t="s">
        <v>158</v>
      </c>
      <c r="H37" s="21">
        <v>12892.74</v>
      </c>
      <c r="I37" s="11" t="b">
        <f>AND(Jnl[[#This Row],[TrxId]]&lt;&gt;"",Jnl[[#This Row],[Acct]]&lt;&gt;"",Jnl[[#This Row],[Item]]&lt;&gt;"",ISNUMBER(Jnl[[#This Row],[Bal]]))</f>
        <v>1</v>
      </c>
      <c r="J37" s="9">
        <f>IF(Jnl[[#This Row],[BSLv0]]="A",1,-1)*Jnl[[#This Row],[Bal]]</f>
        <v>12892.74</v>
      </c>
      <c r="K37" t="str">
        <f>_xlfn.XLOOKUP(Jnl[[#This Row],[Acct]], config_BS[Acct], config_BS[Lv0],,0)</f>
        <v>A</v>
      </c>
      <c r="L37" t="str">
        <f>_xlfn.XLOOKUP(Jnl[[#This Row],[Acct]], config_BS[Acct], config_BS[Lv1],,0)</f>
        <v>Assets</v>
      </c>
      <c r="M37" t="str">
        <f>_xlfn.XLOOKUP(Jnl[[#This Row],[Acct]], config_BS[Acct], config_BS[Lv2],,0)</f>
        <v>Rec-Pay</v>
      </c>
      <c r="N37" t="str">
        <f>_xlfn.XLOOKUP(Jnl[[#This Row],[TrxId]], Trx[Id], Trx[IncNode], ,0)</f>
        <v>Other</v>
      </c>
      <c r="O37" t="str">
        <f>_xlfn.XLOOKUP(Jnl[[#This Row],[IncNode]], config_IS[Node], config_IS[Type],,0)</f>
        <v>Non-Op</v>
      </c>
      <c r="P37" t="str">
        <f>_xlfn.XLOOKUP(Jnl[[#This Row],[BSLv2]], dict[Key], dict[Name],,0)</f>
        <v>1.应收-应付</v>
      </c>
      <c r="Q37" t="str">
        <f>_xlfn.XLOOKUP(Jnl[[#This Row],[Acct]], dict[Key], dict[Name],,0)</f>
        <v>应收-一般</v>
      </c>
      <c r="R37" t="str">
        <f>_xlfn.XLOOKUP(Jnl[[#This Row],[Vehicle]],config_vehicle[Id], config_vehicle[Name],,0)</f>
        <v>米小易</v>
      </c>
    </row>
    <row r="38" spans="1:18">
      <c r="A38" s="10" t="s">
        <v>173</v>
      </c>
      <c r="B38" s="6">
        <f>_xlfn.XLOOKUP(Jnl[[#This Row],[TrxId]], Trx[Id], Trx[Date],,0)</f>
        <v>46022</v>
      </c>
      <c r="C38" s="6" t="str">
        <f>_xlfn.XLOOKUP(Jnl[[#This Row],[TrxId]], Trx[Id], Trx[Division],,0)</f>
        <v>Ctrl</v>
      </c>
      <c r="D38" s="6" t="str">
        <f>_xlfn.XLOOKUP(Jnl[[#This Row],[TrxId]], Trx[Id], Trx[Action],,0)</f>
        <v>forward</v>
      </c>
      <c r="E38" s="6" t="s">
        <v>90</v>
      </c>
      <c r="F38" s="10" t="s">
        <v>125</v>
      </c>
      <c r="G38" s="10" t="s">
        <v>160</v>
      </c>
      <c r="H38" s="21">
        <v>30000</v>
      </c>
      <c r="I38" s="11" t="b">
        <f>AND(Jnl[[#This Row],[TrxId]]&lt;&gt;"",Jnl[[#This Row],[Acct]]&lt;&gt;"",Jnl[[#This Row],[Item]]&lt;&gt;"",ISNUMBER(Jnl[[#This Row],[Bal]]))</f>
        <v>1</v>
      </c>
      <c r="J38" s="9">
        <f>IF(Jnl[[#This Row],[BSLv0]]="A",1,-1)*Jnl[[#This Row],[Bal]]</f>
        <v>30000</v>
      </c>
      <c r="K38" t="str">
        <f>_xlfn.XLOOKUP(Jnl[[#This Row],[Acct]], config_BS[Acct], config_BS[Lv0],,0)</f>
        <v>A</v>
      </c>
      <c r="L38" t="str">
        <f>_xlfn.XLOOKUP(Jnl[[#This Row],[Acct]], config_BS[Acct], config_BS[Lv1],,0)</f>
        <v>Assets</v>
      </c>
      <c r="M38" t="str">
        <f>_xlfn.XLOOKUP(Jnl[[#This Row],[Acct]], config_BS[Acct], config_BS[Lv2],,0)</f>
        <v>Rec-Pay</v>
      </c>
      <c r="N38" t="str">
        <f>_xlfn.XLOOKUP(Jnl[[#This Row],[TrxId]], Trx[Id], Trx[IncNode], ,0)</f>
        <v>Other</v>
      </c>
      <c r="O38" t="str">
        <f>_xlfn.XLOOKUP(Jnl[[#This Row],[IncNode]], config_IS[Node], config_IS[Type],,0)</f>
        <v>Non-Op</v>
      </c>
      <c r="P38" t="str">
        <f>_xlfn.XLOOKUP(Jnl[[#This Row],[BSLv2]], dict[Key], dict[Name],,0)</f>
        <v>1.应收-应付</v>
      </c>
      <c r="Q38" t="str">
        <f>_xlfn.XLOOKUP(Jnl[[#This Row],[Acct]], dict[Key], dict[Name],,0)</f>
        <v>应收-一般</v>
      </c>
      <c r="R38" t="str">
        <f>_xlfn.XLOOKUP(Jnl[[#This Row],[Vehicle]],config_vehicle[Id], config_vehicle[Name],,0)</f>
        <v>米小易</v>
      </c>
    </row>
    <row r="39" spans="1:18">
      <c r="A39" s="10" t="s">
        <v>173</v>
      </c>
      <c r="B39" s="6">
        <f>_xlfn.XLOOKUP(Jnl[[#This Row],[TrxId]], Trx[Id], Trx[Date],,0)</f>
        <v>46022</v>
      </c>
      <c r="C39" s="6" t="str">
        <f>_xlfn.XLOOKUP(Jnl[[#This Row],[TrxId]], Trx[Id], Trx[Division],,0)</f>
        <v>Ctrl</v>
      </c>
      <c r="D39" s="6" t="str">
        <f>_xlfn.XLOOKUP(Jnl[[#This Row],[TrxId]], Trx[Id], Trx[Action],,0)</f>
        <v>forward</v>
      </c>
      <c r="E39" s="22" t="s">
        <v>91</v>
      </c>
      <c r="F39" s="10" t="s">
        <v>125</v>
      </c>
      <c r="G39" s="10" t="s">
        <v>158</v>
      </c>
      <c r="H39" s="21">
        <v>240013.22999999998</v>
      </c>
      <c r="I39" s="11" t="b">
        <f>AND(Jnl[[#This Row],[TrxId]]&lt;&gt;"",Jnl[[#This Row],[Acct]]&lt;&gt;"",Jnl[[#This Row],[Item]]&lt;&gt;"",ISNUMBER(Jnl[[#This Row],[Bal]]))</f>
        <v>1</v>
      </c>
      <c r="J39" s="9">
        <f>IF(Jnl[[#This Row],[BSLv0]]="A",1,-1)*Jnl[[#This Row],[Bal]]</f>
        <v>240013.22999999998</v>
      </c>
      <c r="K39" t="str">
        <f>_xlfn.XLOOKUP(Jnl[[#This Row],[Acct]], config_BS[Acct], config_BS[Lv0],,0)</f>
        <v>A</v>
      </c>
      <c r="L39" t="str">
        <f>_xlfn.XLOOKUP(Jnl[[#This Row],[Acct]], config_BS[Acct], config_BS[Lv1],,0)</f>
        <v>Assets</v>
      </c>
      <c r="M39" t="str">
        <f>_xlfn.XLOOKUP(Jnl[[#This Row],[Acct]], config_BS[Acct], config_BS[Lv2],,0)</f>
        <v>Rec-Pay</v>
      </c>
      <c r="N39" t="str">
        <f>_xlfn.XLOOKUP(Jnl[[#This Row],[TrxId]], Trx[Id], Trx[IncNode], ,0)</f>
        <v>Other</v>
      </c>
      <c r="O39" t="str">
        <f>_xlfn.XLOOKUP(Jnl[[#This Row],[IncNode]], config_IS[Node], config_IS[Type],,0)</f>
        <v>Non-Op</v>
      </c>
      <c r="P39" t="str">
        <f>_xlfn.XLOOKUP(Jnl[[#This Row],[BSLv2]], dict[Key], dict[Name],,0)</f>
        <v>1.应收-应付</v>
      </c>
      <c r="Q39" t="str">
        <f>_xlfn.XLOOKUP(Jnl[[#This Row],[Acct]], dict[Key], dict[Name],,0)</f>
        <v>应收-一般</v>
      </c>
      <c r="R39" t="str">
        <f>_xlfn.XLOOKUP(Jnl[[#This Row],[Vehicle]],config_vehicle[Id], config_vehicle[Name],,0)</f>
        <v>远家文化</v>
      </c>
    </row>
    <row r="40" spans="1:18">
      <c r="A40" s="10" t="s">
        <v>173</v>
      </c>
      <c r="B40" s="6">
        <f>_xlfn.XLOOKUP(Jnl[[#This Row],[TrxId]], Trx[Id], Trx[Date],,0)</f>
        <v>46022</v>
      </c>
      <c r="C40" s="6" t="str">
        <f>_xlfn.XLOOKUP(Jnl[[#This Row],[TrxId]], Trx[Id], Trx[Division],,0)</f>
        <v>Ctrl</v>
      </c>
      <c r="D40" s="6" t="str">
        <f>_xlfn.XLOOKUP(Jnl[[#This Row],[TrxId]], Trx[Id], Trx[Action],,0)</f>
        <v>forward</v>
      </c>
      <c r="E40" s="23" t="s">
        <v>91</v>
      </c>
      <c r="F40" s="10" t="s">
        <v>125</v>
      </c>
      <c r="G40" s="10" t="s">
        <v>161</v>
      </c>
      <c r="H40" s="21">
        <v>150000</v>
      </c>
      <c r="I40" s="11" t="b">
        <f>AND(Jnl[[#This Row],[TrxId]]&lt;&gt;"",Jnl[[#This Row],[Acct]]&lt;&gt;"",Jnl[[#This Row],[Item]]&lt;&gt;"",ISNUMBER(Jnl[[#This Row],[Bal]]))</f>
        <v>1</v>
      </c>
      <c r="J40" s="9">
        <f>IF(Jnl[[#This Row],[BSLv0]]="A",1,-1)*Jnl[[#This Row],[Bal]]</f>
        <v>150000</v>
      </c>
      <c r="K40" t="str">
        <f>_xlfn.XLOOKUP(Jnl[[#This Row],[Acct]], config_BS[Acct], config_BS[Lv0],,0)</f>
        <v>A</v>
      </c>
      <c r="L40" t="str">
        <f>_xlfn.XLOOKUP(Jnl[[#This Row],[Acct]], config_BS[Acct], config_BS[Lv1],,0)</f>
        <v>Assets</v>
      </c>
      <c r="M40" t="str">
        <f>_xlfn.XLOOKUP(Jnl[[#This Row],[Acct]], config_BS[Acct], config_BS[Lv2],,0)</f>
        <v>Rec-Pay</v>
      </c>
      <c r="N40" t="str">
        <f>_xlfn.XLOOKUP(Jnl[[#This Row],[TrxId]], Trx[Id], Trx[IncNode], ,0)</f>
        <v>Other</v>
      </c>
      <c r="O40" t="str">
        <f>_xlfn.XLOOKUP(Jnl[[#This Row],[IncNode]], config_IS[Node], config_IS[Type],,0)</f>
        <v>Non-Op</v>
      </c>
      <c r="P40" t="str">
        <f>_xlfn.XLOOKUP(Jnl[[#This Row],[BSLv2]], dict[Key], dict[Name],,0)</f>
        <v>1.应收-应付</v>
      </c>
      <c r="Q40" t="str">
        <f>_xlfn.XLOOKUP(Jnl[[#This Row],[Acct]], dict[Key], dict[Name],,0)</f>
        <v>应收-一般</v>
      </c>
      <c r="R40" t="str">
        <f>_xlfn.XLOOKUP(Jnl[[#This Row],[Vehicle]],config_vehicle[Id], config_vehicle[Name],,0)</f>
        <v>远家文化</v>
      </c>
    </row>
    <row r="41" spans="1:18">
      <c r="A41" s="10" t="s">
        <v>173</v>
      </c>
      <c r="B41" s="6">
        <f>_xlfn.XLOOKUP(Jnl[[#This Row],[TrxId]], Trx[Id], Trx[Date],,0)</f>
        <v>46022</v>
      </c>
      <c r="C41" s="6" t="str">
        <f>_xlfn.XLOOKUP(Jnl[[#This Row],[TrxId]], Trx[Id], Trx[Division],,0)</f>
        <v>Ctrl</v>
      </c>
      <c r="D41" s="6" t="str">
        <f>_xlfn.XLOOKUP(Jnl[[#This Row],[TrxId]], Trx[Id], Trx[Action],,0)</f>
        <v>forward</v>
      </c>
      <c r="E41" s="23" t="s">
        <v>91</v>
      </c>
      <c r="F41" s="10" t="s">
        <v>125</v>
      </c>
      <c r="G41" s="10" t="s">
        <v>159</v>
      </c>
      <c r="H41" s="21">
        <v>38389.65</v>
      </c>
      <c r="I41" s="11" t="b">
        <f>AND(Jnl[[#This Row],[TrxId]]&lt;&gt;"",Jnl[[#This Row],[Acct]]&lt;&gt;"",Jnl[[#This Row],[Item]]&lt;&gt;"",ISNUMBER(Jnl[[#This Row],[Bal]]))</f>
        <v>1</v>
      </c>
      <c r="J41" s="9">
        <f>IF(Jnl[[#This Row],[BSLv0]]="A",1,-1)*Jnl[[#This Row],[Bal]]</f>
        <v>38389.65</v>
      </c>
      <c r="K41" t="str">
        <f>_xlfn.XLOOKUP(Jnl[[#This Row],[Acct]], config_BS[Acct], config_BS[Lv0],,0)</f>
        <v>A</v>
      </c>
      <c r="L41" t="str">
        <f>_xlfn.XLOOKUP(Jnl[[#This Row],[Acct]], config_BS[Acct], config_BS[Lv1],,0)</f>
        <v>Assets</v>
      </c>
      <c r="M41" t="str">
        <f>_xlfn.XLOOKUP(Jnl[[#This Row],[Acct]], config_BS[Acct], config_BS[Lv2],,0)</f>
        <v>Rec-Pay</v>
      </c>
      <c r="N41" t="str">
        <f>_xlfn.XLOOKUP(Jnl[[#This Row],[TrxId]], Trx[Id], Trx[IncNode], ,0)</f>
        <v>Other</v>
      </c>
      <c r="O41" t="str">
        <f>_xlfn.XLOOKUP(Jnl[[#This Row],[IncNode]], config_IS[Node], config_IS[Type],,0)</f>
        <v>Non-Op</v>
      </c>
      <c r="P41" t="str">
        <f>_xlfn.XLOOKUP(Jnl[[#This Row],[BSLv2]], dict[Key], dict[Name],,0)</f>
        <v>1.应收-应付</v>
      </c>
      <c r="Q41" t="str">
        <f>_xlfn.XLOOKUP(Jnl[[#This Row],[Acct]], dict[Key], dict[Name],,0)</f>
        <v>应收-一般</v>
      </c>
      <c r="R41" t="str">
        <f>_xlfn.XLOOKUP(Jnl[[#This Row],[Vehicle]],config_vehicle[Id], config_vehicle[Name],,0)</f>
        <v>远家文化</v>
      </c>
    </row>
    <row r="42" spans="1:18">
      <c r="A42" s="10" t="s">
        <v>173</v>
      </c>
      <c r="B42" s="6">
        <f>_xlfn.XLOOKUP(Jnl[[#This Row],[TrxId]], Trx[Id], Trx[Date],,0)</f>
        <v>46022</v>
      </c>
      <c r="C42" s="6" t="str">
        <f>_xlfn.XLOOKUP(Jnl[[#This Row],[TrxId]], Trx[Id], Trx[Division],,0)</f>
        <v>Ctrl</v>
      </c>
      <c r="D42" s="6" t="str">
        <f>_xlfn.XLOOKUP(Jnl[[#This Row],[TrxId]], Trx[Id], Trx[Action],,0)</f>
        <v>forward</v>
      </c>
      <c r="E42" s="6" t="s">
        <v>103</v>
      </c>
      <c r="F42" s="10" t="s">
        <v>125</v>
      </c>
      <c r="G42" s="10" t="s">
        <v>154</v>
      </c>
      <c r="H42" s="21">
        <v>25551.3</v>
      </c>
      <c r="I42" s="11" t="b">
        <f>AND(Jnl[[#This Row],[TrxId]]&lt;&gt;"",Jnl[[#This Row],[Acct]]&lt;&gt;"",Jnl[[#This Row],[Item]]&lt;&gt;"",ISNUMBER(Jnl[[#This Row],[Bal]]))</f>
        <v>1</v>
      </c>
      <c r="J42" s="9">
        <f>IF(Jnl[[#This Row],[BSLv0]]="A",1,-1)*Jnl[[#This Row],[Bal]]</f>
        <v>25551.3</v>
      </c>
      <c r="K42" t="str">
        <f>_xlfn.XLOOKUP(Jnl[[#This Row],[Acct]], config_BS[Acct], config_BS[Lv0],,0)</f>
        <v>A</v>
      </c>
      <c r="L42" t="str">
        <f>_xlfn.XLOOKUP(Jnl[[#This Row],[Acct]], config_BS[Acct], config_BS[Lv1],,0)</f>
        <v>Assets</v>
      </c>
      <c r="M42" t="str">
        <f>_xlfn.XLOOKUP(Jnl[[#This Row],[Acct]], config_BS[Acct], config_BS[Lv2],,0)</f>
        <v>Rec-Pay</v>
      </c>
      <c r="N42" t="str">
        <f>_xlfn.XLOOKUP(Jnl[[#This Row],[TrxId]], Trx[Id], Trx[IncNode], ,0)</f>
        <v>Other</v>
      </c>
      <c r="O42" t="str">
        <f>_xlfn.XLOOKUP(Jnl[[#This Row],[IncNode]], config_IS[Node], config_IS[Type],,0)</f>
        <v>Non-Op</v>
      </c>
      <c r="P42" t="str">
        <f>_xlfn.XLOOKUP(Jnl[[#This Row],[BSLv2]], dict[Key], dict[Name],,0)</f>
        <v>1.应收-应付</v>
      </c>
      <c r="Q42" t="str">
        <f>_xlfn.XLOOKUP(Jnl[[#This Row],[Acct]], dict[Key], dict[Name],,0)</f>
        <v>应收-一般</v>
      </c>
      <c r="R42" t="str">
        <f>_xlfn.XLOOKUP(Jnl[[#This Row],[Vehicle]],config_vehicle[Id], config_vehicle[Name],,0)</f>
        <v>创业园-琦</v>
      </c>
    </row>
    <row r="43" spans="1:18">
      <c r="A43" s="10" t="s">
        <v>173</v>
      </c>
      <c r="B43" s="6">
        <f>_xlfn.XLOOKUP(Jnl[[#This Row],[TrxId]], Trx[Id], Trx[Date],,0)</f>
        <v>46022</v>
      </c>
      <c r="C43" s="6" t="str">
        <f>_xlfn.XLOOKUP(Jnl[[#This Row],[TrxId]], Trx[Id], Trx[Division],,0)</f>
        <v>Ctrl</v>
      </c>
      <c r="D43" s="6" t="str">
        <f>_xlfn.XLOOKUP(Jnl[[#This Row],[TrxId]], Trx[Id], Trx[Action],,0)</f>
        <v>forward</v>
      </c>
      <c r="E43" s="6" t="s">
        <v>89</v>
      </c>
      <c r="F43" s="10" t="s">
        <v>128</v>
      </c>
      <c r="G43" s="10" t="s">
        <v>162</v>
      </c>
      <c r="H43" s="21">
        <v>130521.15</v>
      </c>
      <c r="I43" s="11" t="b">
        <f>AND(Jnl[[#This Row],[TrxId]]&lt;&gt;"",Jnl[[#This Row],[Acct]]&lt;&gt;"",Jnl[[#This Row],[Item]]&lt;&gt;"",ISNUMBER(Jnl[[#This Row],[Bal]]))</f>
        <v>1</v>
      </c>
      <c r="J43" s="9">
        <f>IF(Jnl[[#This Row],[BSLv0]]="A",1,-1)*Jnl[[#This Row],[Bal]]</f>
        <v>130521.15</v>
      </c>
      <c r="K43" t="str">
        <f>_xlfn.XLOOKUP(Jnl[[#This Row],[Acct]], config_BS[Acct], config_BS[Lv0],,0)</f>
        <v>A</v>
      </c>
      <c r="L43" t="str">
        <f>_xlfn.XLOOKUP(Jnl[[#This Row],[Acct]], config_BS[Acct], config_BS[Lv1],,0)</f>
        <v>Assets</v>
      </c>
      <c r="M43" t="str">
        <f>_xlfn.XLOOKUP(Jnl[[#This Row],[Acct]], config_BS[Acct], config_BS[Lv2],,0)</f>
        <v>Prep-Sub</v>
      </c>
      <c r="N43" t="str">
        <f>_xlfn.XLOOKUP(Jnl[[#This Row],[TrxId]], Trx[Id], Trx[IncNode], ,0)</f>
        <v>Other</v>
      </c>
      <c r="O43" t="str">
        <f>_xlfn.XLOOKUP(Jnl[[#This Row],[IncNode]], config_IS[Node], config_IS[Type],,0)</f>
        <v>Non-Op</v>
      </c>
      <c r="P43" t="str">
        <f>_xlfn.XLOOKUP(Jnl[[#This Row],[BSLv2]], dict[Key], dict[Name],,0)</f>
        <v>2.预付-订阅</v>
      </c>
      <c r="Q43" t="str">
        <f>_xlfn.XLOOKUP(Jnl[[#This Row],[Acct]], dict[Key], dict[Name],,0)</f>
        <v>订单</v>
      </c>
      <c r="R43" t="str">
        <f>_xlfn.XLOOKUP(Jnl[[#This Row],[Vehicle]],config_vehicle[Id], config_vehicle[Name],,0)</f>
        <v>喜家文化</v>
      </c>
    </row>
    <row r="44" spans="1:18">
      <c r="A44" s="10" t="s">
        <v>173</v>
      </c>
      <c r="B44" s="6">
        <f>_xlfn.XLOOKUP(Jnl[[#This Row],[TrxId]], Trx[Id], Trx[Date],,0)</f>
        <v>46022</v>
      </c>
      <c r="C44" s="6" t="str">
        <f>_xlfn.XLOOKUP(Jnl[[#This Row],[TrxId]], Trx[Id], Trx[Division],,0)</f>
        <v>Ctrl</v>
      </c>
      <c r="D44" s="6" t="str">
        <f>_xlfn.XLOOKUP(Jnl[[#This Row],[TrxId]], Trx[Id], Trx[Action],,0)</f>
        <v>forward</v>
      </c>
      <c r="E44" s="6" t="s">
        <v>88</v>
      </c>
      <c r="F44" s="10" t="s">
        <v>128</v>
      </c>
      <c r="G44" s="10" t="s">
        <v>163</v>
      </c>
      <c r="H44" s="21">
        <v>87645.27</v>
      </c>
      <c r="I44" s="11" t="b">
        <f>AND(Jnl[[#This Row],[TrxId]]&lt;&gt;"",Jnl[[#This Row],[Acct]]&lt;&gt;"",Jnl[[#This Row],[Item]]&lt;&gt;"",ISNUMBER(Jnl[[#This Row],[Bal]]))</f>
        <v>1</v>
      </c>
      <c r="J44" s="9">
        <f>IF(Jnl[[#This Row],[BSLv0]]="A",1,-1)*Jnl[[#This Row],[Bal]]</f>
        <v>87645.27</v>
      </c>
      <c r="K44" t="str">
        <f>_xlfn.XLOOKUP(Jnl[[#This Row],[Acct]], config_BS[Acct], config_BS[Lv0],,0)</f>
        <v>A</v>
      </c>
      <c r="L44" t="str">
        <f>_xlfn.XLOOKUP(Jnl[[#This Row],[Acct]], config_BS[Acct], config_BS[Lv1],,0)</f>
        <v>Assets</v>
      </c>
      <c r="M44" t="str">
        <f>_xlfn.XLOOKUP(Jnl[[#This Row],[Acct]], config_BS[Acct], config_BS[Lv2],,0)</f>
        <v>Prep-Sub</v>
      </c>
      <c r="N44" t="str">
        <f>_xlfn.XLOOKUP(Jnl[[#This Row],[TrxId]], Trx[Id], Trx[IncNode], ,0)</f>
        <v>Other</v>
      </c>
      <c r="O44" t="str">
        <f>_xlfn.XLOOKUP(Jnl[[#This Row],[IncNode]], config_IS[Node], config_IS[Type],,0)</f>
        <v>Non-Op</v>
      </c>
      <c r="P44" t="str">
        <f>_xlfn.XLOOKUP(Jnl[[#This Row],[BSLv2]], dict[Key], dict[Name],,0)</f>
        <v>2.预付-订阅</v>
      </c>
      <c r="Q44" t="str">
        <f>_xlfn.XLOOKUP(Jnl[[#This Row],[Acct]], dict[Key], dict[Name],,0)</f>
        <v>订单</v>
      </c>
      <c r="R44" t="str">
        <f>_xlfn.XLOOKUP(Jnl[[#This Row],[Vehicle]],config_vehicle[Id], config_vehicle[Name],,0)</f>
        <v>远家花园</v>
      </c>
    </row>
    <row r="45" spans="1:18">
      <c r="A45" s="10" t="s">
        <v>173</v>
      </c>
      <c r="B45" s="6">
        <f>_xlfn.XLOOKUP(Jnl[[#This Row],[TrxId]], Trx[Id], Trx[Date],,0)</f>
        <v>46022</v>
      </c>
      <c r="C45" s="6" t="str">
        <f>_xlfn.XLOOKUP(Jnl[[#This Row],[TrxId]], Trx[Id], Trx[Division],,0)</f>
        <v>Ctrl</v>
      </c>
      <c r="D45" s="6" t="str">
        <f>_xlfn.XLOOKUP(Jnl[[#This Row],[TrxId]], Trx[Id], Trx[Action],,0)</f>
        <v>forward</v>
      </c>
      <c r="E45" s="6" t="s">
        <v>93</v>
      </c>
      <c r="F45" s="10" t="s">
        <v>128</v>
      </c>
      <c r="G45" s="10" t="s">
        <v>164</v>
      </c>
      <c r="H45" s="21">
        <v>99417.5</v>
      </c>
      <c r="I45" s="11" t="b">
        <f>AND(Jnl[[#This Row],[TrxId]]&lt;&gt;"",Jnl[[#This Row],[Acct]]&lt;&gt;"",Jnl[[#This Row],[Item]]&lt;&gt;"",ISNUMBER(Jnl[[#This Row],[Bal]]))</f>
        <v>1</v>
      </c>
      <c r="J45" s="9">
        <f>IF(Jnl[[#This Row],[BSLv0]]="A",1,-1)*Jnl[[#This Row],[Bal]]</f>
        <v>99417.5</v>
      </c>
      <c r="K45" t="str">
        <f>_xlfn.XLOOKUP(Jnl[[#This Row],[Acct]], config_BS[Acct], config_BS[Lv0],,0)</f>
        <v>A</v>
      </c>
      <c r="L45" t="str">
        <f>_xlfn.XLOOKUP(Jnl[[#This Row],[Acct]], config_BS[Acct], config_BS[Lv1],,0)</f>
        <v>Assets</v>
      </c>
      <c r="M45" t="str">
        <f>_xlfn.XLOOKUP(Jnl[[#This Row],[Acct]], config_BS[Acct], config_BS[Lv2],,0)</f>
        <v>Prep-Sub</v>
      </c>
      <c r="N45" t="str">
        <f>_xlfn.XLOOKUP(Jnl[[#This Row],[TrxId]], Trx[Id], Trx[IncNode], ,0)</f>
        <v>Other</v>
      </c>
      <c r="O45" t="str">
        <f>_xlfn.XLOOKUP(Jnl[[#This Row],[IncNode]], config_IS[Node], config_IS[Type],,0)</f>
        <v>Non-Op</v>
      </c>
      <c r="P45" t="str">
        <f>_xlfn.XLOOKUP(Jnl[[#This Row],[BSLv2]], dict[Key], dict[Name],,0)</f>
        <v>2.预付-订阅</v>
      </c>
      <c r="Q45" t="str">
        <f>_xlfn.XLOOKUP(Jnl[[#This Row],[Acct]], dict[Key], dict[Name],,0)</f>
        <v>订单</v>
      </c>
      <c r="R45" t="str">
        <f>_xlfn.XLOOKUP(Jnl[[#This Row],[Vehicle]],config_vehicle[Id], config_vehicle[Name],,0)</f>
        <v>桑木</v>
      </c>
    </row>
    <row r="46" spans="1:18">
      <c r="A46" s="10" t="s">
        <v>173</v>
      </c>
      <c r="B46" s="6">
        <f>_xlfn.XLOOKUP(Jnl[[#This Row],[TrxId]], Trx[Id], Trx[Date],,0)</f>
        <v>46022</v>
      </c>
      <c r="C46" s="6" t="str">
        <f>_xlfn.XLOOKUP(Jnl[[#This Row],[TrxId]], Trx[Id], Trx[Division],,0)</f>
        <v>Ctrl</v>
      </c>
      <c r="D46" s="6" t="str">
        <f>_xlfn.XLOOKUP(Jnl[[#This Row],[TrxId]], Trx[Id], Trx[Action],,0)</f>
        <v>forward</v>
      </c>
      <c r="E46" s="6" t="s">
        <v>90</v>
      </c>
      <c r="F46" s="10" t="s">
        <v>128</v>
      </c>
      <c r="G46" s="10" t="s">
        <v>163</v>
      </c>
      <c r="H46" s="21">
        <v>1225</v>
      </c>
      <c r="I46" s="11" t="b">
        <f>AND(Jnl[[#This Row],[TrxId]]&lt;&gt;"",Jnl[[#This Row],[Acct]]&lt;&gt;"",Jnl[[#This Row],[Item]]&lt;&gt;"",ISNUMBER(Jnl[[#This Row],[Bal]]))</f>
        <v>1</v>
      </c>
      <c r="J46" s="9">
        <f>IF(Jnl[[#This Row],[BSLv0]]="A",1,-1)*Jnl[[#This Row],[Bal]]</f>
        <v>1225</v>
      </c>
      <c r="K46" t="str">
        <f>_xlfn.XLOOKUP(Jnl[[#This Row],[Acct]], config_BS[Acct], config_BS[Lv0],,0)</f>
        <v>A</v>
      </c>
      <c r="L46" t="str">
        <f>_xlfn.XLOOKUP(Jnl[[#This Row],[Acct]], config_BS[Acct], config_BS[Lv1],,0)</f>
        <v>Assets</v>
      </c>
      <c r="M46" t="str">
        <f>_xlfn.XLOOKUP(Jnl[[#This Row],[Acct]], config_BS[Acct], config_BS[Lv2],,0)</f>
        <v>Prep-Sub</v>
      </c>
      <c r="N46" t="str">
        <f>_xlfn.XLOOKUP(Jnl[[#This Row],[TrxId]], Trx[Id], Trx[IncNode], ,0)</f>
        <v>Other</v>
      </c>
      <c r="O46" t="str">
        <f>_xlfn.XLOOKUP(Jnl[[#This Row],[IncNode]], config_IS[Node], config_IS[Type],,0)</f>
        <v>Non-Op</v>
      </c>
      <c r="P46" t="str">
        <f>_xlfn.XLOOKUP(Jnl[[#This Row],[BSLv2]], dict[Key], dict[Name],,0)</f>
        <v>2.预付-订阅</v>
      </c>
      <c r="Q46" t="str">
        <f>_xlfn.XLOOKUP(Jnl[[#This Row],[Acct]], dict[Key], dict[Name],,0)</f>
        <v>订单</v>
      </c>
      <c r="R46" t="str">
        <f>_xlfn.XLOOKUP(Jnl[[#This Row],[Vehicle]],config_vehicle[Id], config_vehicle[Name],,0)</f>
        <v>米小易</v>
      </c>
    </row>
    <row r="47" spans="1:18">
      <c r="A47" s="10" t="s">
        <v>173</v>
      </c>
      <c r="B47" s="6">
        <f>_xlfn.XLOOKUP(Jnl[[#This Row],[TrxId]], Trx[Id], Trx[Date],,0)</f>
        <v>46022</v>
      </c>
      <c r="C47" s="6" t="str">
        <f>_xlfn.XLOOKUP(Jnl[[#This Row],[TrxId]], Trx[Id], Trx[Division],,0)</f>
        <v>Ctrl</v>
      </c>
      <c r="D47" s="6" t="str">
        <f>_xlfn.XLOOKUP(Jnl[[#This Row],[TrxId]], Trx[Id], Trx[Action],,0)</f>
        <v>forward</v>
      </c>
      <c r="E47" s="22" t="s">
        <v>91</v>
      </c>
      <c r="F47" s="10" t="s">
        <v>129</v>
      </c>
      <c r="G47" s="10" t="s">
        <v>177</v>
      </c>
      <c r="H47" s="21">
        <v>192761.82</v>
      </c>
      <c r="I47" s="11" t="b">
        <f>AND(Jnl[[#This Row],[TrxId]]&lt;&gt;"",Jnl[[#This Row],[Acct]]&lt;&gt;"",Jnl[[#This Row],[Item]]&lt;&gt;"",ISNUMBER(Jnl[[#This Row],[Bal]]))</f>
        <v>1</v>
      </c>
      <c r="J47" s="9">
        <f>IF(Jnl[[#This Row],[BSLv0]]="A",1,-1)*Jnl[[#This Row],[Bal]]</f>
        <v>192761.82</v>
      </c>
      <c r="K47" t="str">
        <f>_xlfn.XLOOKUP(Jnl[[#This Row],[Acct]], config_BS[Acct], config_BS[Lv0],,0)</f>
        <v>A</v>
      </c>
      <c r="L47" t="str">
        <f>_xlfn.XLOOKUP(Jnl[[#This Row],[Acct]], config_BS[Acct], config_BS[Lv1],,0)</f>
        <v>Assets</v>
      </c>
      <c r="M47" t="str">
        <f>_xlfn.XLOOKUP(Jnl[[#This Row],[Acct]], config_BS[Acct], config_BS[Lv2],,0)</f>
        <v>Invtr</v>
      </c>
      <c r="N47" t="str">
        <f>_xlfn.XLOOKUP(Jnl[[#This Row],[TrxId]], Trx[Id], Trx[IncNode], ,0)</f>
        <v>Other</v>
      </c>
      <c r="O47" t="str">
        <f>_xlfn.XLOOKUP(Jnl[[#This Row],[IncNode]], config_IS[Node], config_IS[Type],,0)</f>
        <v>Non-Op</v>
      </c>
      <c r="P47" t="str">
        <f>_xlfn.XLOOKUP(Jnl[[#This Row],[BSLv2]], dict[Key], dict[Name],,0)</f>
        <v>3.库存占款</v>
      </c>
      <c r="Q47" t="str">
        <f>_xlfn.XLOOKUP(Jnl[[#This Row],[Acct]], dict[Key], dict[Name],,0)</f>
        <v>当期存货</v>
      </c>
      <c r="R47" t="str">
        <f>_xlfn.XLOOKUP(Jnl[[#This Row],[Vehicle]],config_vehicle[Id], config_vehicle[Name],,0)</f>
        <v>远家文化</v>
      </c>
    </row>
    <row r="48" spans="1:18">
      <c r="A48" s="10" t="s">
        <v>173</v>
      </c>
      <c r="B48" s="6">
        <f>_xlfn.XLOOKUP(Jnl[[#This Row],[TrxId]], Trx[Id], Trx[Date],,0)</f>
        <v>46022</v>
      </c>
      <c r="C48" s="6" t="str">
        <f>_xlfn.XLOOKUP(Jnl[[#This Row],[TrxId]], Trx[Id], Trx[Division],,0)</f>
        <v>Ctrl</v>
      </c>
      <c r="D48" s="6" t="str">
        <f>_xlfn.XLOOKUP(Jnl[[#This Row],[TrxId]], Trx[Id], Trx[Action],,0)</f>
        <v>forward</v>
      </c>
      <c r="E48" s="6" t="s">
        <v>90</v>
      </c>
      <c r="F48" s="10" t="s">
        <v>129</v>
      </c>
      <c r="G48" s="10" t="s">
        <v>176</v>
      </c>
      <c r="H48" s="21">
        <v>242182.81</v>
      </c>
      <c r="I48" s="11" t="b">
        <f>AND(Jnl[[#This Row],[TrxId]]&lt;&gt;"",Jnl[[#This Row],[Acct]]&lt;&gt;"",Jnl[[#This Row],[Item]]&lt;&gt;"",ISNUMBER(Jnl[[#This Row],[Bal]]))</f>
        <v>1</v>
      </c>
      <c r="J48" s="9">
        <f>IF(Jnl[[#This Row],[BSLv0]]="A",1,-1)*Jnl[[#This Row],[Bal]]</f>
        <v>242182.81</v>
      </c>
      <c r="K48" t="str">
        <f>_xlfn.XLOOKUP(Jnl[[#This Row],[Acct]], config_BS[Acct], config_BS[Lv0],,0)</f>
        <v>A</v>
      </c>
      <c r="L48" t="str">
        <f>_xlfn.XLOOKUP(Jnl[[#This Row],[Acct]], config_BS[Acct], config_BS[Lv1],,0)</f>
        <v>Assets</v>
      </c>
      <c r="M48" t="str">
        <f>_xlfn.XLOOKUP(Jnl[[#This Row],[Acct]], config_BS[Acct], config_BS[Lv2],,0)</f>
        <v>Invtr</v>
      </c>
      <c r="N48" t="str">
        <f>_xlfn.XLOOKUP(Jnl[[#This Row],[TrxId]], Trx[Id], Trx[IncNode], ,0)</f>
        <v>Other</v>
      </c>
      <c r="O48" t="str">
        <f>_xlfn.XLOOKUP(Jnl[[#This Row],[IncNode]], config_IS[Node], config_IS[Type],,0)</f>
        <v>Non-Op</v>
      </c>
      <c r="P48" t="str">
        <f>_xlfn.XLOOKUP(Jnl[[#This Row],[BSLv2]], dict[Key], dict[Name],,0)</f>
        <v>3.库存占款</v>
      </c>
      <c r="Q48" t="str">
        <f>_xlfn.XLOOKUP(Jnl[[#This Row],[Acct]], dict[Key], dict[Name],,0)</f>
        <v>当期存货</v>
      </c>
      <c r="R48" t="str">
        <f>_xlfn.XLOOKUP(Jnl[[#This Row],[Vehicle]],config_vehicle[Id], config_vehicle[Name],,0)</f>
        <v>米小易</v>
      </c>
    </row>
    <row r="49" spans="1:18">
      <c r="A49" s="10" t="s">
        <v>173</v>
      </c>
      <c r="B49" s="6">
        <f>_xlfn.XLOOKUP(Jnl[[#This Row],[TrxId]], Trx[Id], Trx[Date],,0)</f>
        <v>46022</v>
      </c>
      <c r="C49" s="6" t="str">
        <f>_xlfn.XLOOKUP(Jnl[[#This Row],[TrxId]], Trx[Id], Trx[Division],,0)</f>
        <v>Ctrl</v>
      </c>
      <c r="D49" s="6" t="str">
        <f>_xlfn.XLOOKUP(Jnl[[#This Row],[TrxId]], Trx[Id], Trx[Action],,0)</f>
        <v>forward</v>
      </c>
      <c r="E49" s="6" t="s">
        <v>88</v>
      </c>
      <c r="F49" s="28" t="s">
        <v>129</v>
      </c>
      <c r="G49" s="10" t="s">
        <v>175</v>
      </c>
      <c r="H49" s="27">
        <v>10513383.689999999</v>
      </c>
      <c r="I49" s="11" t="b">
        <f>AND(Jnl[[#This Row],[TrxId]]&lt;&gt;"",Jnl[[#This Row],[Acct]]&lt;&gt;"",Jnl[[#This Row],[Item]]&lt;&gt;"",ISNUMBER(Jnl[[#This Row],[Bal]]))</f>
        <v>1</v>
      </c>
      <c r="J49" s="9">
        <f>IF(Jnl[[#This Row],[BSLv0]]="A",1,-1)*Jnl[[#This Row],[Bal]]</f>
        <v>10513383.689999999</v>
      </c>
      <c r="K49" t="str">
        <f>_xlfn.XLOOKUP(Jnl[[#This Row],[Acct]], config_BS[Acct], config_BS[Lv0],,0)</f>
        <v>A</v>
      </c>
      <c r="L49" t="str">
        <f>_xlfn.XLOOKUP(Jnl[[#This Row],[Acct]], config_BS[Acct], config_BS[Lv1],,0)</f>
        <v>Assets</v>
      </c>
      <c r="M49" t="str">
        <f>_xlfn.XLOOKUP(Jnl[[#This Row],[Acct]], config_BS[Acct], config_BS[Lv2],,0)</f>
        <v>Invtr</v>
      </c>
      <c r="N49" t="str">
        <f>_xlfn.XLOOKUP(Jnl[[#This Row],[TrxId]], Trx[Id], Trx[IncNode], ,0)</f>
        <v>Other</v>
      </c>
      <c r="O49" t="str">
        <f>_xlfn.XLOOKUP(Jnl[[#This Row],[IncNode]], config_IS[Node], config_IS[Type],,0)</f>
        <v>Non-Op</v>
      </c>
      <c r="P49" t="str">
        <f>_xlfn.XLOOKUP(Jnl[[#This Row],[BSLv2]], dict[Key], dict[Name],,0)</f>
        <v>3.库存占款</v>
      </c>
      <c r="Q49" t="str">
        <f>_xlfn.XLOOKUP(Jnl[[#This Row],[Acct]], dict[Key], dict[Name],,0)</f>
        <v>当期存货</v>
      </c>
      <c r="R49" t="str">
        <f>_xlfn.XLOOKUP(Jnl[[#This Row],[Vehicle]],config_vehicle[Id], config_vehicle[Name],,0)</f>
        <v>远家花园</v>
      </c>
    </row>
    <row r="50" spans="1:18">
      <c r="A50" s="10" t="s">
        <v>173</v>
      </c>
      <c r="B50" s="6">
        <f>_xlfn.XLOOKUP(Jnl[[#This Row],[TrxId]], Trx[Id], Trx[Date],,0)</f>
        <v>46022</v>
      </c>
      <c r="C50" s="6" t="str">
        <f>_xlfn.XLOOKUP(Jnl[[#This Row],[TrxId]], Trx[Id], Trx[Division],,0)</f>
        <v>Ctrl</v>
      </c>
      <c r="D50" s="6" t="str">
        <f>_xlfn.XLOOKUP(Jnl[[#This Row],[TrxId]], Trx[Id], Trx[Action],,0)</f>
        <v>forward</v>
      </c>
      <c r="E50" s="22" t="s">
        <v>91</v>
      </c>
      <c r="F50" s="10" t="s">
        <v>134</v>
      </c>
      <c r="G50" s="10" t="s">
        <v>220</v>
      </c>
      <c r="H50" s="21">
        <v>24079061.699999999</v>
      </c>
      <c r="I50" s="11" t="b">
        <f>AND(Jnl[[#This Row],[TrxId]]&lt;&gt;"",Jnl[[#This Row],[Acct]]&lt;&gt;"",Jnl[[#This Row],[Item]]&lt;&gt;"",ISNUMBER(Jnl[[#This Row],[Bal]]))</f>
        <v>1</v>
      </c>
      <c r="J50" s="9">
        <f>IF(Jnl[[#This Row],[BSLv0]]="A",1,-1)*Jnl[[#This Row],[Bal]]</f>
        <v>24079061.699999999</v>
      </c>
      <c r="K50" t="str">
        <f>_xlfn.XLOOKUP(Jnl[[#This Row],[Acct]], config_BS[Acct], config_BS[Lv0],,0)</f>
        <v>A</v>
      </c>
      <c r="L50" t="str">
        <f>_xlfn.XLOOKUP(Jnl[[#This Row],[Acct]], config_BS[Acct], config_BS[Lv1],,0)</f>
        <v>Assets</v>
      </c>
      <c r="M50" t="str">
        <f>_xlfn.XLOOKUP(Jnl[[#This Row],[Acct]], config_BS[Acct], config_BS[Lv2],,0)</f>
        <v>PP&amp;E</v>
      </c>
      <c r="N50" t="str">
        <f>_xlfn.XLOOKUP(Jnl[[#This Row],[TrxId]], Trx[Id], Trx[IncNode], ,0)</f>
        <v>Other</v>
      </c>
      <c r="O50" t="str">
        <f>_xlfn.XLOOKUP(Jnl[[#This Row],[IncNode]], config_IS[Node], config_IS[Type],,0)</f>
        <v>Non-Op</v>
      </c>
      <c r="P50" t="str">
        <f>_xlfn.XLOOKUP(Jnl[[#This Row],[BSLv2]], dict[Key], dict[Name],,0)</f>
        <v>5.硬件设施</v>
      </c>
      <c r="Q50" t="str">
        <f>_xlfn.XLOOKUP(Jnl[[#This Row],[Acct]], dict[Key], dict[Name],,0)</f>
        <v>房地产</v>
      </c>
      <c r="R50" t="str">
        <f>_xlfn.XLOOKUP(Jnl[[#This Row],[Vehicle]],config_vehicle[Id], config_vehicle[Name],,0)</f>
        <v>远家文化</v>
      </c>
    </row>
    <row r="51" spans="1:18">
      <c r="A51" s="10" t="s">
        <v>173</v>
      </c>
      <c r="B51" s="6">
        <f>_xlfn.XLOOKUP(Jnl[[#This Row],[TrxId]], Trx[Id], Trx[Date],,0)</f>
        <v>46022</v>
      </c>
      <c r="C51" s="6" t="str">
        <f>_xlfn.XLOOKUP(Jnl[[#This Row],[TrxId]], Trx[Id], Trx[Division],,0)</f>
        <v>Ctrl</v>
      </c>
      <c r="D51" s="6" t="str">
        <f>_xlfn.XLOOKUP(Jnl[[#This Row],[TrxId]], Trx[Id], Trx[Action],,0)</f>
        <v>forward</v>
      </c>
      <c r="E51" s="23" t="s">
        <v>91</v>
      </c>
      <c r="F51" s="10" t="s">
        <v>134</v>
      </c>
      <c r="G51" s="10" t="s">
        <v>218</v>
      </c>
      <c r="H51" s="21">
        <v>-5217130.03</v>
      </c>
      <c r="I51" s="11" t="b">
        <f>AND(Jnl[[#This Row],[TrxId]]&lt;&gt;"",Jnl[[#This Row],[Acct]]&lt;&gt;"",Jnl[[#This Row],[Item]]&lt;&gt;"",ISNUMBER(Jnl[[#This Row],[Bal]]))</f>
        <v>1</v>
      </c>
      <c r="J51" s="9">
        <f>IF(Jnl[[#This Row],[BSLv0]]="A",1,-1)*Jnl[[#This Row],[Bal]]</f>
        <v>-5217130.03</v>
      </c>
      <c r="K51" t="str">
        <f>_xlfn.XLOOKUP(Jnl[[#This Row],[Acct]], config_BS[Acct], config_BS[Lv0],,0)</f>
        <v>A</v>
      </c>
      <c r="L51" t="str">
        <f>_xlfn.XLOOKUP(Jnl[[#This Row],[Acct]], config_BS[Acct], config_BS[Lv1],,0)</f>
        <v>Assets</v>
      </c>
      <c r="M51" t="str">
        <f>_xlfn.XLOOKUP(Jnl[[#This Row],[Acct]], config_BS[Acct], config_BS[Lv2],,0)</f>
        <v>PP&amp;E</v>
      </c>
      <c r="N51" t="str">
        <f>_xlfn.XLOOKUP(Jnl[[#This Row],[TrxId]], Trx[Id], Trx[IncNode], ,0)</f>
        <v>Other</v>
      </c>
      <c r="O51" t="str">
        <f>_xlfn.XLOOKUP(Jnl[[#This Row],[IncNode]], config_IS[Node], config_IS[Type],,0)</f>
        <v>Non-Op</v>
      </c>
      <c r="P51" t="str">
        <f>_xlfn.XLOOKUP(Jnl[[#This Row],[BSLv2]], dict[Key], dict[Name],,0)</f>
        <v>5.硬件设施</v>
      </c>
      <c r="Q51" t="str">
        <f>_xlfn.XLOOKUP(Jnl[[#This Row],[Acct]], dict[Key], dict[Name],,0)</f>
        <v>房地产</v>
      </c>
      <c r="R51" t="str">
        <f>_xlfn.XLOOKUP(Jnl[[#This Row],[Vehicle]],config_vehicle[Id], config_vehicle[Name],,0)</f>
        <v>远家文化</v>
      </c>
    </row>
    <row r="52" spans="1:18">
      <c r="A52" s="10" t="s">
        <v>173</v>
      </c>
      <c r="B52" s="6">
        <f>_xlfn.XLOOKUP(Jnl[[#This Row],[TrxId]], Trx[Id], Trx[Date],,0)</f>
        <v>46022</v>
      </c>
      <c r="C52" s="6" t="str">
        <f>_xlfn.XLOOKUP(Jnl[[#This Row],[TrxId]], Trx[Id], Trx[Division],,0)</f>
        <v>Ctrl</v>
      </c>
      <c r="D52" s="6" t="str">
        <f>_xlfn.XLOOKUP(Jnl[[#This Row],[TrxId]], Trx[Id], Trx[Action],,0)</f>
        <v>forward</v>
      </c>
      <c r="E52" s="25" t="s">
        <v>118</v>
      </c>
      <c r="F52" s="10" t="s">
        <v>134</v>
      </c>
      <c r="G52" s="10" t="s">
        <v>219</v>
      </c>
      <c r="H52" s="21">
        <v>6467900</v>
      </c>
      <c r="I52" s="11" t="b">
        <f>AND(Jnl[[#This Row],[TrxId]]&lt;&gt;"",Jnl[[#This Row],[Acct]]&lt;&gt;"",Jnl[[#This Row],[Item]]&lt;&gt;"",ISNUMBER(Jnl[[#This Row],[Bal]]))</f>
        <v>1</v>
      </c>
      <c r="J52" s="9">
        <f>IF(Jnl[[#This Row],[BSLv0]]="A",1,-1)*Jnl[[#This Row],[Bal]]</f>
        <v>6467900</v>
      </c>
      <c r="K52" t="str">
        <f>_xlfn.XLOOKUP(Jnl[[#This Row],[Acct]], config_BS[Acct], config_BS[Lv0],,0)</f>
        <v>A</v>
      </c>
      <c r="L52" t="str">
        <f>_xlfn.XLOOKUP(Jnl[[#This Row],[Acct]], config_BS[Acct], config_BS[Lv1],,0)</f>
        <v>Assets</v>
      </c>
      <c r="M52" t="str">
        <f>_xlfn.XLOOKUP(Jnl[[#This Row],[Acct]], config_BS[Acct], config_BS[Lv2],,0)</f>
        <v>PP&amp;E</v>
      </c>
      <c r="N52" t="str">
        <f>_xlfn.XLOOKUP(Jnl[[#This Row],[TrxId]], Trx[Id], Trx[IncNode], ,0)</f>
        <v>Other</v>
      </c>
      <c r="O52" t="str">
        <f>_xlfn.XLOOKUP(Jnl[[#This Row],[IncNode]], config_IS[Node], config_IS[Type],,0)</f>
        <v>Non-Op</v>
      </c>
      <c r="P52" t="str">
        <f>_xlfn.XLOOKUP(Jnl[[#This Row],[BSLv2]], dict[Key], dict[Name],,0)</f>
        <v>5.硬件设施</v>
      </c>
      <c r="Q52" t="str">
        <f>_xlfn.XLOOKUP(Jnl[[#This Row],[Acct]], dict[Key], dict[Name],,0)</f>
        <v>房地产</v>
      </c>
      <c r="R52" t="str">
        <f>_xlfn.XLOOKUP(Jnl[[#This Row],[Vehicle]],config_vehicle[Id], config_vehicle[Name],,0)</f>
        <v>远家花园高新分公司</v>
      </c>
    </row>
    <row r="53" spans="1:18">
      <c r="A53" s="10" t="s">
        <v>173</v>
      </c>
      <c r="B53" s="6">
        <f>_xlfn.XLOOKUP(Jnl[[#This Row],[TrxId]], Trx[Id], Trx[Date],,0)</f>
        <v>46022</v>
      </c>
      <c r="C53" s="6" t="str">
        <f>_xlfn.XLOOKUP(Jnl[[#This Row],[TrxId]], Trx[Id], Trx[Division],,0)</f>
        <v>Ctrl</v>
      </c>
      <c r="D53" s="6" t="str">
        <f>_xlfn.XLOOKUP(Jnl[[#This Row],[TrxId]], Trx[Id], Trx[Action],,0)</f>
        <v>forward</v>
      </c>
      <c r="E53" s="26" t="s">
        <v>118</v>
      </c>
      <c r="F53" s="10" t="s">
        <v>134</v>
      </c>
      <c r="G53" s="10" t="s">
        <v>221</v>
      </c>
      <c r="H53" s="21">
        <v>-1065602.3999999999</v>
      </c>
      <c r="I53" s="11" t="b">
        <f>AND(Jnl[[#This Row],[TrxId]]&lt;&gt;"",Jnl[[#This Row],[Acct]]&lt;&gt;"",Jnl[[#This Row],[Item]]&lt;&gt;"",ISNUMBER(Jnl[[#This Row],[Bal]]))</f>
        <v>1</v>
      </c>
      <c r="J53" s="9">
        <f>IF(Jnl[[#This Row],[BSLv0]]="A",1,-1)*Jnl[[#This Row],[Bal]]</f>
        <v>-1065602.3999999999</v>
      </c>
      <c r="K53" t="str">
        <f>_xlfn.XLOOKUP(Jnl[[#This Row],[Acct]], config_BS[Acct], config_BS[Lv0],,0)</f>
        <v>A</v>
      </c>
      <c r="L53" t="str">
        <f>_xlfn.XLOOKUP(Jnl[[#This Row],[Acct]], config_BS[Acct], config_BS[Lv1],,0)</f>
        <v>Assets</v>
      </c>
      <c r="M53" t="str">
        <f>_xlfn.XLOOKUP(Jnl[[#This Row],[Acct]], config_BS[Acct], config_BS[Lv2],,0)</f>
        <v>PP&amp;E</v>
      </c>
      <c r="N53" t="str">
        <f>_xlfn.XLOOKUP(Jnl[[#This Row],[TrxId]], Trx[Id], Trx[IncNode], ,0)</f>
        <v>Other</v>
      </c>
      <c r="O53" t="str">
        <f>_xlfn.XLOOKUP(Jnl[[#This Row],[IncNode]], config_IS[Node], config_IS[Type],,0)</f>
        <v>Non-Op</v>
      </c>
      <c r="P53" t="str">
        <f>_xlfn.XLOOKUP(Jnl[[#This Row],[BSLv2]], dict[Key], dict[Name],,0)</f>
        <v>5.硬件设施</v>
      </c>
      <c r="Q53" t="str">
        <f>_xlfn.XLOOKUP(Jnl[[#This Row],[Acct]], dict[Key], dict[Name],,0)</f>
        <v>房地产</v>
      </c>
      <c r="R53" t="str">
        <f>_xlfn.XLOOKUP(Jnl[[#This Row],[Vehicle]],config_vehicle[Id], config_vehicle[Name],,0)</f>
        <v>远家花园高新分公司</v>
      </c>
    </row>
    <row r="54" spans="1:18">
      <c r="A54" s="10" t="s">
        <v>173</v>
      </c>
      <c r="B54" s="6">
        <f>_xlfn.XLOOKUP(Jnl[[#This Row],[TrxId]], Trx[Id], Trx[Date],,0)</f>
        <v>46022</v>
      </c>
      <c r="C54" s="6" t="str">
        <f>_xlfn.XLOOKUP(Jnl[[#This Row],[TrxId]], Trx[Id], Trx[Division],,0)</f>
        <v>Ctrl</v>
      </c>
      <c r="D54" s="6" t="str">
        <f>_xlfn.XLOOKUP(Jnl[[#This Row],[TrxId]], Trx[Id], Trx[Action],,0)</f>
        <v>forward</v>
      </c>
      <c r="E54" s="6" t="s">
        <v>89</v>
      </c>
      <c r="F54" s="10" t="s">
        <v>193</v>
      </c>
      <c r="G54" s="10" t="s">
        <v>165</v>
      </c>
      <c r="H54" s="21">
        <v>2000000</v>
      </c>
      <c r="I54" s="24" t="b">
        <f>AND(Jnl[[#This Row],[TrxId]]&lt;&gt;"",Jnl[[#This Row],[Acct]]&lt;&gt;"",Jnl[[#This Row],[Item]]&lt;&gt;"",ISNUMBER(Jnl[[#This Row],[Bal]]))</f>
        <v>1</v>
      </c>
      <c r="J54" s="9">
        <f>IF(Jnl[[#This Row],[BSLv0]]="A",1,-1)*Jnl[[#This Row],[Bal]]</f>
        <v>2000000</v>
      </c>
      <c r="K54" t="str">
        <f>_xlfn.XLOOKUP(Jnl[[#This Row],[Acct]], config_BS[Acct], config_BS[Lv0],,0)</f>
        <v>A</v>
      </c>
      <c r="L54" t="str">
        <f>_xlfn.XLOOKUP(Jnl[[#This Row],[Acct]], config_BS[Acct], config_BS[Lv1],,0)</f>
        <v>Assets</v>
      </c>
      <c r="M54" t="str">
        <f>_xlfn.XLOOKUP(Jnl[[#This Row],[Acct]], config_BS[Acct], config_BS[Lv2],,0)</f>
        <v>Invest-LTD</v>
      </c>
      <c r="N54" t="str">
        <f>_xlfn.XLOOKUP(Jnl[[#This Row],[TrxId]], Trx[Id], Trx[IncNode], ,0)</f>
        <v>Other</v>
      </c>
      <c r="O54" t="str">
        <f>_xlfn.XLOOKUP(Jnl[[#This Row],[IncNode]], config_IS[Node], config_IS[Type],,0)</f>
        <v>Non-Op</v>
      </c>
      <c r="P54" t="str">
        <f>_xlfn.XLOOKUP(Jnl[[#This Row],[BSLv2]], dict[Key], dict[Name],,0)</f>
        <v>6.投资与长期负债</v>
      </c>
      <c r="Q54" t="str">
        <f>_xlfn.XLOOKUP(Jnl[[#This Row],[Acct]], dict[Key], dict[Name],,0)</f>
        <v>权益性投资</v>
      </c>
      <c r="R54" t="str">
        <f>_xlfn.XLOOKUP(Jnl[[#This Row],[Vehicle]],config_vehicle[Id], config_vehicle[Name],,0)</f>
        <v>喜家文化</v>
      </c>
    </row>
    <row r="55" spans="1:18">
      <c r="A55" s="10" t="s">
        <v>173</v>
      </c>
      <c r="B55" s="6">
        <f>_xlfn.XLOOKUP(Jnl[[#This Row],[TrxId]], Trx[Id], Trx[Date],,0)</f>
        <v>46022</v>
      </c>
      <c r="C55" s="6" t="str">
        <f>_xlfn.XLOOKUP(Jnl[[#This Row],[TrxId]], Trx[Id], Trx[Division],,0)</f>
        <v>Ctrl</v>
      </c>
      <c r="D55" s="6" t="str">
        <f>_xlfn.XLOOKUP(Jnl[[#This Row],[TrxId]], Trx[Id], Trx[Action],,0)</f>
        <v>forward</v>
      </c>
      <c r="E55" s="6" t="s">
        <v>89</v>
      </c>
      <c r="F55" s="10" t="s">
        <v>193</v>
      </c>
      <c r="G55" s="29" t="s">
        <v>166</v>
      </c>
      <c r="H55" s="21">
        <v>100000</v>
      </c>
      <c r="I55" s="24" t="b">
        <f>AND(Jnl[[#This Row],[TrxId]]&lt;&gt;"",Jnl[[#This Row],[Acct]]&lt;&gt;"",Jnl[[#This Row],[Item]]&lt;&gt;"",ISNUMBER(Jnl[[#This Row],[Bal]]))</f>
        <v>1</v>
      </c>
      <c r="J55" s="9">
        <f>IF(Jnl[[#This Row],[BSLv0]]="A",1,-1)*Jnl[[#This Row],[Bal]]</f>
        <v>100000</v>
      </c>
      <c r="K55" t="str">
        <f>_xlfn.XLOOKUP(Jnl[[#This Row],[Acct]], config_BS[Acct], config_BS[Lv0],,0)</f>
        <v>A</v>
      </c>
      <c r="L55" t="str">
        <f>_xlfn.XLOOKUP(Jnl[[#This Row],[Acct]], config_BS[Acct], config_BS[Lv1],,0)</f>
        <v>Assets</v>
      </c>
      <c r="M55" t="str">
        <f>_xlfn.XLOOKUP(Jnl[[#This Row],[Acct]], config_BS[Acct], config_BS[Lv2],,0)</f>
        <v>Invest-LTD</v>
      </c>
      <c r="N55" t="str">
        <f>_xlfn.XLOOKUP(Jnl[[#This Row],[TrxId]], Trx[Id], Trx[IncNode], ,0)</f>
        <v>Other</v>
      </c>
      <c r="O55" t="str">
        <f>_xlfn.XLOOKUP(Jnl[[#This Row],[IncNode]], config_IS[Node], config_IS[Type],,0)</f>
        <v>Non-Op</v>
      </c>
      <c r="P55" t="str">
        <f>_xlfn.XLOOKUP(Jnl[[#This Row],[BSLv2]], dict[Key], dict[Name],,0)</f>
        <v>6.投资与长期负债</v>
      </c>
      <c r="Q55" t="str">
        <f>_xlfn.XLOOKUP(Jnl[[#This Row],[Acct]], dict[Key], dict[Name],,0)</f>
        <v>权益性投资</v>
      </c>
      <c r="R55" t="str">
        <f>_xlfn.XLOOKUP(Jnl[[#This Row],[Vehicle]],config_vehicle[Id], config_vehicle[Name],,0)</f>
        <v>喜家文化</v>
      </c>
    </row>
    <row r="56" spans="1:18">
      <c r="A56" s="10" t="s">
        <v>173</v>
      </c>
      <c r="B56" s="6">
        <f>_xlfn.XLOOKUP(Jnl[[#This Row],[TrxId]], Trx[Id], Trx[Date],,0)</f>
        <v>46022</v>
      </c>
      <c r="C56" s="6" t="str">
        <f>_xlfn.XLOOKUP(Jnl[[#This Row],[TrxId]], Trx[Id], Trx[Division],,0)</f>
        <v>Ctrl</v>
      </c>
      <c r="D56" s="6" t="str">
        <f>_xlfn.XLOOKUP(Jnl[[#This Row],[TrxId]], Trx[Id], Trx[Action],,0)</f>
        <v>forward</v>
      </c>
      <c r="E56" s="6" t="s">
        <v>89</v>
      </c>
      <c r="F56" s="10" t="s">
        <v>126</v>
      </c>
      <c r="G56" s="10" t="s">
        <v>155</v>
      </c>
      <c r="H56" s="30">
        <v>6891.7999999999993</v>
      </c>
      <c r="I56" s="11" t="b">
        <f>AND(Jnl[[#This Row],[TrxId]]&lt;&gt;"",Jnl[[#This Row],[Acct]]&lt;&gt;"",Jnl[[#This Row],[Item]]&lt;&gt;"",ISNUMBER(Jnl[[#This Row],[Bal]]))</f>
        <v>1</v>
      </c>
      <c r="J56" s="9">
        <f>IF(Jnl[[#This Row],[BSLv0]]="A",1,-1)*Jnl[[#This Row],[Bal]]</f>
        <v>-6891.7999999999993</v>
      </c>
      <c r="K56" t="str">
        <f>_xlfn.XLOOKUP(Jnl[[#This Row],[Acct]], config_BS[Acct], config_BS[Lv0],,0)</f>
        <v>LC</v>
      </c>
      <c r="L56" t="str">
        <f>_xlfn.XLOOKUP(Jnl[[#This Row],[Acct]], config_BS[Acct], config_BS[Lv1],,0)</f>
        <v>Liability</v>
      </c>
      <c r="M56" t="str">
        <f>_xlfn.XLOOKUP(Jnl[[#This Row],[Acct]], config_BS[Acct], config_BS[Lv2],,0)</f>
        <v>Rec-Pay</v>
      </c>
      <c r="N56" t="str">
        <f>_xlfn.XLOOKUP(Jnl[[#This Row],[TrxId]], Trx[Id], Trx[IncNode], ,0)</f>
        <v>Other</v>
      </c>
      <c r="O56" t="str">
        <f>_xlfn.XLOOKUP(Jnl[[#This Row],[IncNode]], config_IS[Node], config_IS[Type],,0)</f>
        <v>Non-Op</v>
      </c>
      <c r="P56" t="str">
        <f>_xlfn.XLOOKUP(Jnl[[#This Row],[BSLv2]], dict[Key], dict[Name],,0)</f>
        <v>1.应收-应付</v>
      </c>
      <c r="Q56" t="str">
        <f>_xlfn.XLOOKUP(Jnl[[#This Row],[Acct]], dict[Key], dict[Name],,0)</f>
        <v>应付-一般</v>
      </c>
      <c r="R56" t="str">
        <f>_xlfn.XLOOKUP(Jnl[[#This Row],[Vehicle]],config_vehicle[Id], config_vehicle[Name],,0)</f>
        <v>喜家文化</v>
      </c>
    </row>
    <row r="57" spans="1:18">
      <c r="A57" s="10" t="s">
        <v>173</v>
      </c>
      <c r="B57" s="6">
        <f>_xlfn.XLOOKUP(Jnl[[#This Row],[TrxId]], Trx[Id], Trx[Date],,0)</f>
        <v>46022</v>
      </c>
      <c r="C57" s="6" t="str">
        <f>_xlfn.XLOOKUP(Jnl[[#This Row],[TrxId]], Trx[Id], Trx[Division],,0)</f>
        <v>Ctrl</v>
      </c>
      <c r="D57" s="6" t="str">
        <f>_xlfn.XLOOKUP(Jnl[[#This Row],[TrxId]], Trx[Id], Trx[Action],,0)</f>
        <v>forward</v>
      </c>
      <c r="E57" s="6" t="s">
        <v>89</v>
      </c>
      <c r="F57" s="10" t="s">
        <v>143</v>
      </c>
      <c r="G57" s="29" t="s">
        <v>169</v>
      </c>
      <c r="H57" s="30">
        <v>30730.53</v>
      </c>
      <c r="I57" s="11" t="b">
        <f>AND(Jnl[[#This Row],[TrxId]]&lt;&gt;"",Jnl[[#This Row],[Acct]]&lt;&gt;"",Jnl[[#This Row],[Item]]&lt;&gt;"",ISNUMBER(Jnl[[#This Row],[Bal]]))</f>
        <v>1</v>
      </c>
      <c r="J57" s="9">
        <f>IF(Jnl[[#This Row],[BSLv0]]="A",1,-1)*Jnl[[#This Row],[Bal]]</f>
        <v>-30730.53</v>
      </c>
      <c r="K57" t="str">
        <f>_xlfn.XLOOKUP(Jnl[[#This Row],[Acct]], config_BS[Acct], config_BS[Lv0],,0)</f>
        <v>LC</v>
      </c>
      <c r="L57" t="str">
        <f>_xlfn.XLOOKUP(Jnl[[#This Row],[Acct]], config_BS[Acct], config_BS[Lv1],,0)</f>
        <v>Liability</v>
      </c>
      <c r="M57" t="str">
        <f>_xlfn.XLOOKUP(Jnl[[#This Row],[Acct]], config_BS[Acct], config_BS[Lv2],,0)</f>
        <v>Rec-Pay</v>
      </c>
      <c r="N57" t="str">
        <f>_xlfn.XLOOKUP(Jnl[[#This Row],[TrxId]], Trx[Id], Trx[IncNode], ,0)</f>
        <v>Other</v>
      </c>
      <c r="O57" t="str">
        <f>_xlfn.XLOOKUP(Jnl[[#This Row],[IncNode]], config_IS[Node], config_IS[Type],,0)</f>
        <v>Non-Op</v>
      </c>
      <c r="P57" t="str">
        <f>_xlfn.XLOOKUP(Jnl[[#This Row],[BSLv2]], dict[Key], dict[Name],,0)</f>
        <v>1.应收-应付</v>
      </c>
      <c r="Q57" t="str">
        <f>_xlfn.XLOOKUP(Jnl[[#This Row],[Acct]], dict[Key], dict[Name],,0)</f>
        <v>应付-税款</v>
      </c>
      <c r="R57" t="str">
        <f>_xlfn.XLOOKUP(Jnl[[#This Row],[Vehicle]],config_vehicle[Id], config_vehicle[Name],,0)</f>
        <v>喜家文化</v>
      </c>
    </row>
    <row r="58" spans="1:18">
      <c r="A58" s="10" t="s">
        <v>173</v>
      </c>
      <c r="B58" s="6">
        <f>_xlfn.XLOOKUP(Jnl[[#This Row],[TrxId]], Trx[Id], Trx[Date],,0)</f>
        <v>46022</v>
      </c>
      <c r="C58" s="6" t="str">
        <f>_xlfn.XLOOKUP(Jnl[[#This Row],[TrxId]], Trx[Id], Trx[Division],,0)</f>
        <v>Ctrl</v>
      </c>
      <c r="D58" s="6" t="str">
        <f>_xlfn.XLOOKUP(Jnl[[#This Row],[TrxId]], Trx[Id], Trx[Action],,0)</f>
        <v>forward</v>
      </c>
      <c r="E58" s="6" t="s">
        <v>89</v>
      </c>
      <c r="F58" s="10" t="s">
        <v>223</v>
      </c>
      <c r="G58" s="10" t="s">
        <v>170</v>
      </c>
      <c r="H58" s="30">
        <v>37380.69</v>
      </c>
      <c r="I58" s="11" t="b">
        <f>AND(Jnl[[#This Row],[TrxId]]&lt;&gt;"",Jnl[[#This Row],[Acct]]&lt;&gt;"",Jnl[[#This Row],[Item]]&lt;&gt;"",ISNUMBER(Jnl[[#This Row],[Bal]]))</f>
        <v>1</v>
      </c>
      <c r="J58" s="9">
        <f>IF(Jnl[[#This Row],[BSLv0]]="A",1,-1)*Jnl[[#This Row],[Bal]]</f>
        <v>-37380.69</v>
      </c>
      <c r="K58" t="str">
        <f>_xlfn.XLOOKUP(Jnl[[#This Row],[Acct]], config_BS[Acct], config_BS[Lv0],,0)</f>
        <v>LC</v>
      </c>
      <c r="L58" t="str">
        <f>_xlfn.XLOOKUP(Jnl[[#This Row],[Acct]], config_BS[Acct], config_BS[Lv1],,0)</f>
        <v>Liability</v>
      </c>
      <c r="M58" t="str">
        <f>_xlfn.XLOOKUP(Jnl[[#This Row],[Acct]], config_BS[Acct], config_BS[Lv2],,0)</f>
        <v>Rec-Pay</v>
      </c>
      <c r="N58" t="str">
        <f>_xlfn.XLOOKUP(Jnl[[#This Row],[TrxId]], Trx[Id], Trx[IncNode], ,0)</f>
        <v>Other</v>
      </c>
      <c r="O58" t="str">
        <f>_xlfn.XLOOKUP(Jnl[[#This Row],[IncNode]], config_IS[Node], config_IS[Type],,0)</f>
        <v>Non-Op</v>
      </c>
      <c r="P58" t="str">
        <f>_xlfn.XLOOKUP(Jnl[[#This Row],[BSLv2]], dict[Key], dict[Name],,0)</f>
        <v>1.应收-应付</v>
      </c>
      <c r="Q58" t="str">
        <f>_xlfn.XLOOKUP(Jnl[[#This Row],[Acct]], dict[Key], dict[Name],,0)</f>
        <v>应付-薪资</v>
      </c>
      <c r="R58" t="str">
        <f>_xlfn.XLOOKUP(Jnl[[#This Row],[Vehicle]],config_vehicle[Id], config_vehicle[Name],,0)</f>
        <v>喜家文化</v>
      </c>
    </row>
    <row r="59" spans="1:18">
      <c r="A59" s="10" t="s">
        <v>173</v>
      </c>
      <c r="B59" s="6">
        <f>_xlfn.XLOOKUP(Jnl[[#This Row],[TrxId]], Trx[Id], Trx[Date],,0)</f>
        <v>46022</v>
      </c>
      <c r="C59" s="6" t="str">
        <f>_xlfn.XLOOKUP(Jnl[[#This Row],[TrxId]], Trx[Id], Trx[Division],,0)</f>
        <v>Ctrl</v>
      </c>
      <c r="D59" s="6" t="str">
        <f>_xlfn.XLOOKUP(Jnl[[#This Row],[TrxId]], Trx[Id], Trx[Action],,0)</f>
        <v>forward</v>
      </c>
      <c r="E59" s="6" t="s">
        <v>88</v>
      </c>
      <c r="F59" s="10" t="s">
        <v>143</v>
      </c>
      <c r="G59" s="29" t="s">
        <v>169</v>
      </c>
      <c r="H59" s="30">
        <v>441296.96</v>
      </c>
      <c r="I59" s="11" t="b">
        <f>AND(Jnl[[#This Row],[TrxId]]&lt;&gt;"",Jnl[[#This Row],[Acct]]&lt;&gt;"",Jnl[[#This Row],[Item]]&lt;&gt;"",ISNUMBER(Jnl[[#This Row],[Bal]]))</f>
        <v>1</v>
      </c>
      <c r="J59" s="9">
        <f>IF(Jnl[[#This Row],[BSLv0]]="A",1,-1)*Jnl[[#This Row],[Bal]]</f>
        <v>-441296.96</v>
      </c>
      <c r="K59" t="str">
        <f>_xlfn.XLOOKUP(Jnl[[#This Row],[Acct]], config_BS[Acct], config_BS[Lv0],,0)</f>
        <v>LC</v>
      </c>
      <c r="L59" t="str">
        <f>_xlfn.XLOOKUP(Jnl[[#This Row],[Acct]], config_BS[Acct], config_BS[Lv1],,0)</f>
        <v>Liability</v>
      </c>
      <c r="M59" t="str">
        <f>_xlfn.XLOOKUP(Jnl[[#This Row],[Acct]], config_BS[Acct], config_BS[Lv2],,0)</f>
        <v>Rec-Pay</v>
      </c>
      <c r="N59" t="str">
        <f>_xlfn.XLOOKUP(Jnl[[#This Row],[TrxId]], Trx[Id], Trx[IncNode], ,0)</f>
        <v>Other</v>
      </c>
      <c r="O59" t="str">
        <f>_xlfn.XLOOKUP(Jnl[[#This Row],[IncNode]], config_IS[Node], config_IS[Type],,0)</f>
        <v>Non-Op</v>
      </c>
      <c r="P59" t="str">
        <f>_xlfn.XLOOKUP(Jnl[[#This Row],[BSLv2]], dict[Key], dict[Name],,0)</f>
        <v>1.应收-应付</v>
      </c>
      <c r="Q59" t="str">
        <f>_xlfn.XLOOKUP(Jnl[[#This Row],[Acct]], dict[Key], dict[Name],,0)</f>
        <v>应付-税款</v>
      </c>
      <c r="R59" t="str">
        <f>_xlfn.XLOOKUP(Jnl[[#This Row],[Vehicle]],config_vehicle[Id], config_vehicle[Name],,0)</f>
        <v>远家花园</v>
      </c>
    </row>
    <row r="60" spans="1:18">
      <c r="A60" s="10" t="s">
        <v>173</v>
      </c>
      <c r="B60" s="6">
        <f>_xlfn.XLOOKUP(Jnl[[#This Row],[TrxId]], Trx[Id], Trx[Date],,0)</f>
        <v>46022</v>
      </c>
      <c r="C60" s="6" t="str">
        <f>_xlfn.XLOOKUP(Jnl[[#This Row],[TrxId]], Trx[Id], Trx[Division],,0)</f>
        <v>Ctrl</v>
      </c>
      <c r="D60" s="6" t="str">
        <f>_xlfn.XLOOKUP(Jnl[[#This Row],[TrxId]], Trx[Id], Trx[Action],,0)</f>
        <v>forward</v>
      </c>
      <c r="E60" s="6" t="s">
        <v>88</v>
      </c>
      <c r="F60" s="10" t="s">
        <v>223</v>
      </c>
      <c r="G60" s="10" t="s">
        <v>170</v>
      </c>
      <c r="H60" s="30">
        <v>454010.9</v>
      </c>
      <c r="I60" s="11" t="b">
        <f>AND(Jnl[[#This Row],[TrxId]]&lt;&gt;"",Jnl[[#This Row],[Acct]]&lt;&gt;"",Jnl[[#This Row],[Item]]&lt;&gt;"",ISNUMBER(Jnl[[#This Row],[Bal]]))</f>
        <v>1</v>
      </c>
      <c r="J60" s="9">
        <f>IF(Jnl[[#This Row],[BSLv0]]="A",1,-1)*Jnl[[#This Row],[Bal]]</f>
        <v>-454010.9</v>
      </c>
      <c r="K60" t="str">
        <f>_xlfn.XLOOKUP(Jnl[[#This Row],[Acct]], config_BS[Acct], config_BS[Lv0],,0)</f>
        <v>LC</v>
      </c>
      <c r="L60" t="str">
        <f>_xlfn.XLOOKUP(Jnl[[#This Row],[Acct]], config_BS[Acct], config_BS[Lv1],,0)</f>
        <v>Liability</v>
      </c>
      <c r="M60" t="str">
        <f>_xlfn.XLOOKUP(Jnl[[#This Row],[Acct]], config_BS[Acct], config_BS[Lv2],,0)</f>
        <v>Rec-Pay</v>
      </c>
      <c r="N60" t="str">
        <f>_xlfn.XLOOKUP(Jnl[[#This Row],[TrxId]], Trx[Id], Trx[IncNode], ,0)</f>
        <v>Other</v>
      </c>
      <c r="O60" t="str">
        <f>_xlfn.XLOOKUP(Jnl[[#This Row],[IncNode]], config_IS[Node], config_IS[Type],,0)</f>
        <v>Non-Op</v>
      </c>
      <c r="P60" t="str">
        <f>_xlfn.XLOOKUP(Jnl[[#This Row],[BSLv2]], dict[Key], dict[Name],,0)</f>
        <v>1.应收-应付</v>
      </c>
      <c r="Q60" t="str">
        <f>_xlfn.XLOOKUP(Jnl[[#This Row],[Acct]], dict[Key], dict[Name],,0)</f>
        <v>应付-薪资</v>
      </c>
      <c r="R60" t="str">
        <f>_xlfn.XLOOKUP(Jnl[[#This Row],[Vehicle]],config_vehicle[Id], config_vehicle[Name],,0)</f>
        <v>远家花园</v>
      </c>
    </row>
    <row r="61" spans="1:18">
      <c r="A61" s="10" t="s">
        <v>173</v>
      </c>
      <c r="B61" s="6">
        <f>_xlfn.XLOOKUP(Jnl[[#This Row],[TrxId]], Trx[Id], Trx[Date],,0)</f>
        <v>46022</v>
      </c>
      <c r="C61" s="6" t="str">
        <f>_xlfn.XLOOKUP(Jnl[[#This Row],[TrxId]], Trx[Id], Trx[Division],,0)</f>
        <v>Ctrl</v>
      </c>
      <c r="D61" s="6" t="str">
        <f>_xlfn.XLOOKUP(Jnl[[#This Row],[TrxId]], Trx[Id], Trx[Action],,0)</f>
        <v>forward</v>
      </c>
      <c r="E61" s="6" t="s">
        <v>118</v>
      </c>
      <c r="F61" s="10" t="s">
        <v>143</v>
      </c>
      <c r="G61" s="29" t="s">
        <v>169</v>
      </c>
      <c r="H61" s="30">
        <v>5489.66</v>
      </c>
      <c r="I61" s="11" t="b">
        <f>AND(Jnl[[#This Row],[TrxId]]&lt;&gt;"",Jnl[[#This Row],[Acct]]&lt;&gt;"",Jnl[[#This Row],[Item]]&lt;&gt;"",ISNUMBER(Jnl[[#This Row],[Bal]]))</f>
        <v>1</v>
      </c>
      <c r="J61" s="9">
        <f>IF(Jnl[[#This Row],[BSLv0]]="A",1,-1)*Jnl[[#This Row],[Bal]]</f>
        <v>-5489.66</v>
      </c>
      <c r="K61" t="str">
        <f>_xlfn.XLOOKUP(Jnl[[#This Row],[Acct]], config_BS[Acct], config_BS[Lv0],,0)</f>
        <v>LC</v>
      </c>
      <c r="L61" t="str">
        <f>_xlfn.XLOOKUP(Jnl[[#This Row],[Acct]], config_BS[Acct], config_BS[Lv1],,0)</f>
        <v>Liability</v>
      </c>
      <c r="M61" t="str">
        <f>_xlfn.XLOOKUP(Jnl[[#This Row],[Acct]], config_BS[Acct], config_BS[Lv2],,0)</f>
        <v>Rec-Pay</v>
      </c>
      <c r="N61" t="str">
        <f>_xlfn.XLOOKUP(Jnl[[#This Row],[TrxId]], Trx[Id], Trx[IncNode], ,0)</f>
        <v>Other</v>
      </c>
      <c r="O61" t="str">
        <f>_xlfn.XLOOKUP(Jnl[[#This Row],[IncNode]], config_IS[Node], config_IS[Type],,0)</f>
        <v>Non-Op</v>
      </c>
      <c r="P61" t="str">
        <f>_xlfn.XLOOKUP(Jnl[[#This Row],[BSLv2]], dict[Key], dict[Name],,0)</f>
        <v>1.应收-应付</v>
      </c>
      <c r="Q61" t="str">
        <f>_xlfn.XLOOKUP(Jnl[[#This Row],[Acct]], dict[Key], dict[Name],,0)</f>
        <v>应付-税款</v>
      </c>
      <c r="R61" t="str">
        <f>_xlfn.XLOOKUP(Jnl[[#This Row],[Vehicle]],config_vehicle[Id], config_vehicle[Name],,0)</f>
        <v>远家花园高新分公司</v>
      </c>
    </row>
    <row r="62" spans="1:18">
      <c r="A62" s="10" t="s">
        <v>173</v>
      </c>
      <c r="B62" s="6">
        <f>_xlfn.XLOOKUP(Jnl[[#This Row],[TrxId]], Trx[Id], Trx[Date],,0)</f>
        <v>46022</v>
      </c>
      <c r="C62" s="6" t="str">
        <f>_xlfn.XLOOKUP(Jnl[[#This Row],[TrxId]], Trx[Id], Trx[Division],,0)</f>
        <v>Ctrl</v>
      </c>
      <c r="D62" s="6" t="str">
        <f>_xlfn.XLOOKUP(Jnl[[#This Row],[TrxId]], Trx[Id], Trx[Action],,0)</f>
        <v>forward</v>
      </c>
      <c r="E62" s="6" t="s">
        <v>118</v>
      </c>
      <c r="F62" s="10" t="s">
        <v>223</v>
      </c>
      <c r="G62" s="10" t="s">
        <v>170</v>
      </c>
      <c r="H62" s="30">
        <v>34956.620000000003</v>
      </c>
      <c r="I62" s="11" t="b">
        <f>AND(Jnl[[#This Row],[TrxId]]&lt;&gt;"",Jnl[[#This Row],[Acct]]&lt;&gt;"",Jnl[[#This Row],[Item]]&lt;&gt;"",ISNUMBER(Jnl[[#This Row],[Bal]]))</f>
        <v>1</v>
      </c>
      <c r="J62" s="9">
        <f>IF(Jnl[[#This Row],[BSLv0]]="A",1,-1)*Jnl[[#This Row],[Bal]]</f>
        <v>-34956.620000000003</v>
      </c>
      <c r="K62" t="str">
        <f>_xlfn.XLOOKUP(Jnl[[#This Row],[Acct]], config_BS[Acct], config_BS[Lv0],,0)</f>
        <v>LC</v>
      </c>
      <c r="L62" t="str">
        <f>_xlfn.XLOOKUP(Jnl[[#This Row],[Acct]], config_BS[Acct], config_BS[Lv1],,0)</f>
        <v>Liability</v>
      </c>
      <c r="M62" t="str">
        <f>_xlfn.XLOOKUP(Jnl[[#This Row],[Acct]], config_BS[Acct], config_BS[Lv2],,0)</f>
        <v>Rec-Pay</v>
      </c>
      <c r="N62" t="str">
        <f>_xlfn.XLOOKUP(Jnl[[#This Row],[TrxId]], Trx[Id], Trx[IncNode], ,0)</f>
        <v>Other</v>
      </c>
      <c r="O62" t="str">
        <f>_xlfn.XLOOKUP(Jnl[[#This Row],[IncNode]], config_IS[Node], config_IS[Type],,0)</f>
        <v>Non-Op</v>
      </c>
      <c r="P62" t="str">
        <f>_xlfn.XLOOKUP(Jnl[[#This Row],[BSLv2]], dict[Key], dict[Name],,0)</f>
        <v>1.应收-应付</v>
      </c>
      <c r="Q62" t="str">
        <f>_xlfn.XLOOKUP(Jnl[[#This Row],[Acct]], dict[Key], dict[Name],,0)</f>
        <v>应付-薪资</v>
      </c>
      <c r="R62" t="str">
        <f>_xlfn.XLOOKUP(Jnl[[#This Row],[Vehicle]],config_vehicle[Id], config_vehicle[Name],,0)</f>
        <v>远家花园高新分公司</v>
      </c>
    </row>
    <row r="63" spans="1:18">
      <c r="A63" s="10" t="s">
        <v>173</v>
      </c>
      <c r="B63" s="6">
        <f>_xlfn.XLOOKUP(Jnl[[#This Row],[TrxId]], Trx[Id], Trx[Date],,0)</f>
        <v>46022</v>
      </c>
      <c r="C63" s="6" t="str">
        <f>_xlfn.XLOOKUP(Jnl[[#This Row],[TrxId]], Trx[Id], Trx[Division],,0)</f>
        <v>Ctrl</v>
      </c>
      <c r="D63" s="6" t="str">
        <f>_xlfn.XLOOKUP(Jnl[[#This Row],[TrxId]], Trx[Id], Trx[Action],,0)</f>
        <v>forward</v>
      </c>
      <c r="E63" s="6" t="s">
        <v>118</v>
      </c>
      <c r="F63" s="10" t="s">
        <v>147</v>
      </c>
      <c r="G63" s="29" t="s">
        <v>157</v>
      </c>
      <c r="H63" s="30">
        <v>2200</v>
      </c>
      <c r="I63" s="11" t="b">
        <f>AND(Jnl[[#This Row],[TrxId]]&lt;&gt;"",Jnl[[#This Row],[Acct]]&lt;&gt;"",Jnl[[#This Row],[Item]]&lt;&gt;"",ISNUMBER(Jnl[[#This Row],[Bal]]))</f>
        <v>1</v>
      </c>
      <c r="J63" s="9">
        <f>IF(Jnl[[#This Row],[BSLv0]]="A",1,-1)*Jnl[[#This Row],[Bal]]</f>
        <v>-2200</v>
      </c>
      <c r="K63" t="str">
        <f>_xlfn.XLOOKUP(Jnl[[#This Row],[Acct]], config_BS[Acct], config_BS[Lv0],,0)</f>
        <v>LC</v>
      </c>
      <c r="L63" t="str">
        <f>_xlfn.XLOOKUP(Jnl[[#This Row],[Acct]], config_BS[Acct], config_BS[Lv1],,0)</f>
        <v>Liability</v>
      </c>
      <c r="M63" t="str">
        <f>_xlfn.XLOOKUP(Jnl[[#This Row],[Acct]], config_BS[Acct], config_BS[Lv2],,0)</f>
        <v>Rec-Pay</v>
      </c>
      <c r="N63" t="str">
        <f>_xlfn.XLOOKUP(Jnl[[#This Row],[TrxId]], Trx[Id], Trx[IncNode], ,0)</f>
        <v>Other</v>
      </c>
      <c r="O63" t="str">
        <f>_xlfn.XLOOKUP(Jnl[[#This Row],[IncNode]], config_IS[Node], config_IS[Type],,0)</f>
        <v>Non-Op</v>
      </c>
      <c r="P63" t="str">
        <f>_xlfn.XLOOKUP(Jnl[[#This Row],[BSLv2]], dict[Key], dict[Name],,0)</f>
        <v>1.应收-应付</v>
      </c>
      <c r="Q63" t="str">
        <f>_xlfn.XLOOKUP(Jnl[[#This Row],[Acct]], dict[Key], dict[Name],,0)</f>
        <v>应付-其他</v>
      </c>
      <c r="R63" t="str">
        <f>_xlfn.XLOOKUP(Jnl[[#This Row],[Vehicle]],config_vehicle[Id], config_vehicle[Name],,0)</f>
        <v>远家花园高新分公司</v>
      </c>
    </row>
    <row r="64" spans="1:18">
      <c r="A64" s="10" t="s">
        <v>173</v>
      </c>
      <c r="B64" s="6">
        <f>_xlfn.XLOOKUP(Jnl[[#This Row],[TrxId]], Trx[Id], Trx[Date],,0)</f>
        <v>46022</v>
      </c>
      <c r="C64" s="6" t="str">
        <f>_xlfn.XLOOKUP(Jnl[[#This Row],[TrxId]], Trx[Id], Trx[Division],,0)</f>
        <v>Ctrl</v>
      </c>
      <c r="D64" s="6" t="str">
        <f>_xlfn.XLOOKUP(Jnl[[#This Row],[TrxId]], Trx[Id], Trx[Action],,0)</f>
        <v>forward</v>
      </c>
      <c r="E64" s="6" t="s">
        <v>123</v>
      </c>
      <c r="F64" s="10" t="s">
        <v>143</v>
      </c>
      <c r="G64" s="10" t="s">
        <v>169</v>
      </c>
      <c r="H64" s="30">
        <v>15725.69</v>
      </c>
      <c r="I64" s="11" t="b">
        <f>AND(Jnl[[#This Row],[TrxId]]&lt;&gt;"",Jnl[[#This Row],[Acct]]&lt;&gt;"",Jnl[[#This Row],[Item]]&lt;&gt;"",ISNUMBER(Jnl[[#This Row],[Bal]]))</f>
        <v>1</v>
      </c>
      <c r="J64" s="9">
        <f>IF(Jnl[[#This Row],[BSLv0]]="A",1,-1)*Jnl[[#This Row],[Bal]]</f>
        <v>-15725.69</v>
      </c>
      <c r="K64" t="str">
        <f>_xlfn.XLOOKUP(Jnl[[#This Row],[Acct]], config_BS[Acct], config_BS[Lv0],,0)</f>
        <v>LC</v>
      </c>
      <c r="L64" t="str">
        <f>_xlfn.XLOOKUP(Jnl[[#This Row],[Acct]], config_BS[Acct], config_BS[Lv1],,0)</f>
        <v>Liability</v>
      </c>
      <c r="M64" t="str">
        <f>_xlfn.XLOOKUP(Jnl[[#This Row],[Acct]], config_BS[Acct], config_BS[Lv2],,0)</f>
        <v>Rec-Pay</v>
      </c>
      <c r="N64" t="str">
        <f>_xlfn.XLOOKUP(Jnl[[#This Row],[TrxId]], Trx[Id], Trx[IncNode], ,0)</f>
        <v>Other</v>
      </c>
      <c r="O64" t="str">
        <f>_xlfn.XLOOKUP(Jnl[[#This Row],[IncNode]], config_IS[Node], config_IS[Type],,0)</f>
        <v>Non-Op</v>
      </c>
      <c r="P64" t="str">
        <f>_xlfn.XLOOKUP(Jnl[[#This Row],[BSLv2]], dict[Key], dict[Name],,0)</f>
        <v>1.应收-应付</v>
      </c>
      <c r="Q64" t="str">
        <f>_xlfn.XLOOKUP(Jnl[[#This Row],[Acct]], dict[Key], dict[Name],,0)</f>
        <v>应付-税款</v>
      </c>
      <c r="R64" t="str">
        <f>_xlfn.XLOOKUP(Jnl[[#This Row],[Vehicle]],config_vehicle[Id], config_vehicle[Name],,0)</f>
        <v>染匠文化</v>
      </c>
    </row>
    <row r="65" spans="1:18">
      <c r="A65" s="10" t="s">
        <v>173</v>
      </c>
      <c r="B65" s="6">
        <f>_xlfn.XLOOKUP(Jnl[[#This Row],[TrxId]], Trx[Id], Trx[Date],,0)</f>
        <v>46022</v>
      </c>
      <c r="C65" s="6" t="str">
        <f>_xlfn.XLOOKUP(Jnl[[#This Row],[TrxId]], Trx[Id], Trx[Division],,0)</f>
        <v>Ctrl</v>
      </c>
      <c r="D65" s="6" t="str">
        <f>_xlfn.XLOOKUP(Jnl[[#This Row],[TrxId]], Trx[Id], Trx[Action],,0)</f>
        <v>forward</v>
      </c>
      <c r="E65" s="6" t="s">
        <v>123</v>
      </c>
      <c r="F65" s="10" t="s">
        <v>223</v>
      </c>
      <c r="G65" s="29" t="s">
        <v>170</v>
      </c>
      <c r="H65" s="30">
        <v>33541.86</v>
      </c>
      <c r="I65" s="11" t="b">
        <f>AND(Jnl[[#This Row],[TrxId]]&lt;&gt;"",Jnl[[#This Row],[Acct]]&lt;&gt;"",Jnl[[#This Row],[Item]]&lt;&gt;"",ISNUMBER(Jnl[[#This Row],[Bal]]))</f>
        <v>1</v>
      </c>
      <c r="J65" s="9">
        <f>IF(Jnl[[#This Row],[BSLv0]]="A",1,-1)*Jnl[[#This Row],[Bal]]</f>
        <v>-33541.86</v>
      </c>
      <c r="K65" t="str">
        <f>_xlfn.XLOOKUP(Jnl[[#This Row],[Acct]], config_BS[Acct], config_BS[Lv0],,0)</f>
        <v>LC</v>
      </c>
      <c r="L65" t="str">
        <f>_xlfn.XLOOKUP(Jnl[[#This Row],[Acct]], config_BS[Acct], config_BS[Lv1],,0)</f>
        <v>Liability</v>
      </c>
      <c r="M65" t="str">
        <f>_xlfn.XLOOKUP(Jnl[[#This Row],[Acct]], config_BS[Acct], config_BS[Lv2],,0)</f>
        <v>Rec-Pay</v>
      </c>
      <c r="N65" t="str">
        <f>_xlfn.XLOOKUP(Jnl[[#This Row],[TrxId]], Trx[Id], Trx[IncNode], ,0)</f>
        <v>Other</v>
      </c>
      <c r="O65" t="str">
        <f>_xlfn.XLOOKUP(Jnl[[#This Row],[IncNode]], config_IS[Node], config_IS[Type],,0)</f>
        <v>Non-Op</v>
      </c>
      <c r="P65" t="str">
        <f>_xlfn.XLOOKUP(Jnl[[#This Row],[BSLv2]], dict[Key], dict[Name],,0)</f>
        <v>1.应收-应付</v>
      </c>
      <c r="Q65" t="str">
        <f>_xlfn.XLOOKUP(Jnl[[#This Row],[Acct]], dict[Key], dict[Name],,0)</f>
        <v>应付-薪资</v>
      </c>
      <c r="R65" t="str">
        <f>_xlfn.XLOOKUP(Jnl[[#This Row],[Vehicle]],config_vehicle[Id], config_vehicle[Name],,0)</f>
        <v>染匠文化</v>
      </c>
    </row>
    <row r="66" spans="1:18">
      <c r="A66" s="10" t="s">
        <v>173</v>
      </c>
      <c r="B66" s="6">
        <f>_xlfn.XLOOKUP(Jnl[[#This Row],[TrxId]], Trx[Id], Trx[Date],,0)</f>
        <v>46022</v>
      </c>
      <c r="C66" s="6" t="str">
        <f>_xlfn.XLOOKUP(Jnl[[#This Row],[TrxId]], Trx[Id], Trx[Division],,0)</f>
        <v>Ctrl</v>
      </c>
      <c r="D66" s="6" t="str">
        <f>_xlfn.XLOOKUP(Jnl[[#This Row],[TrxId]], Trx[Id], Trx[Action],,0)</f>
        <v>forward</v>
      </c>
      <c r="E66" s="6" t="s">
        <v>92</v>
      </c>
      <c r="F66" s="10" t="s">
        <v>143</v>
      </c>
      <c r="G66" s="10" t="s">
        <v>169</v>
      </c>
      <c r="H66" s="30">
        <v>42232.84</v>
      </c>
      <c r="I66" s="11" t="b">
        <f>AND(Jnl[[#This Row],[TrxId]]&lt;&gt;"",Jnl[[#This Row],[Acct]]&lt;&gt;"",Jnl[[#This Row],[Item]]&lt;&gt;"",ISNUMBER(Jnl[[#This Row],[Bal]]))</f>
        <v>1</v>
      </c>
      <c r="J66" s="9">
        <f>IF(Jnl[[#This Row],[BSLv0]]="A",1,-1)*Jnl[[#This Row],[Bal]]</f>
        <v>-42232.84</v>
      </c>
      <c r="K66" t="str">
        <f>_xlfn.XLOOKUP(Jnl[[#This Row],[Acct]], config_BS[Acct], config_BS[Lv0],,0)</f>
        <v>LC</v>
      </c>
      <c r="L66" t="str">
        <f>_xlfn.XLOOKUP(Jnl[[#This Row],[Acct]], config_BS[Acct], config_BS[Lv1],,0)</f>
        <v>Liability</v>
      </c>
      <c r="M66" t="str">
        <f>_xlfn.XLOOKUP(Jnl[[#This Row],[Acct]], config_BS[Acct], config_BS[Lv2],,0)</f>
        <v>Rec-Pay</v>
      </c>
      <c r="N66" t="str">
        <f>_xlfn.XLOOKUP(Jnl[[#This Row],[TrxId]], Trx[Id], Trx[IncNode], ,0)</f>
        <v>Other</v>
      </c>
      <c r="O66" t="str">
        <f>_xlfn.XLOOKUP(Jnl[[#This Row],[IncNode]], config_IS[Node], config_IS[Type],,0)</f>
        <v>Non-Op</v>
      </c>
      <c r="P66" t="str">
        <f>_xlfn.XLOOKUP(Jnl[[#This Row],[BSLv2]], dict[Key], dict[Name],,0)</f>
        <v>1.应收-应付</v>
      </c>
      <c r="Q66" t="str">
        <f>_xlfn.XLOOKUP(Jnl[[#This Row],[Acct]], dict[Key], dict[Name],,0)</f>
        <v>应付-税款</v>
      </c>
      <c r="R66" t="str">
        <f>_xlfn.XLOOKUP(Jnl[[#This Row],[Vehicle]],config_vehicle[Id], config_vehicle[Name],,0)</f>
        <v>榆乐</v>
      </c>
    </row>
    <row r="67" spans="1:18">
      <c r="A67" s="10" t="s">
        <v>173</v>
      </c>
      <c r="B67" s="6">
        <f>_xlfn.XLOOKUP(Jnl[[#This Row],[TrxId]], Trx[Id], Trx[Date],,0)</f>
        <v>46022</v>
      </c>
      <c r="C67" s="6" t="str">
        <f>_xlfn.XLOOKUP(Jnl[[#This Row],[TrxId]], Trx[Id], Trx[Division],,0)</f>
        <v>Ctrl</v>
      </c>
      <c r="D67" s="6" t="str">
        <f>_xlfn.XLOOKUP(Jnl[[#This Row],[TrxId]], Trx[Id], Trx[Action],,0)</f>
        <v>forward</v>
      </c>
      <c r="E67" s="6" t="s">
        <v>92</v>
      </c>
      <c r="F67" s="10" t="s">
        <v>223</v>
      </c>
      <c r="G67" s="29" t="s">
        <v>170</v>
      </c>
      <c r="H67" s="30">
        <v>76031.259999999995</v>
      </c>
      <c r="I67" s="11" t="b">
        <f>AND(Jnl[[#This Row],[TrxId]]&lt;&gt;"",Jnl[[#This Row],[Acct]]&lt;&gt;"",Jnl[[#This Row],[Item]]&lt;&gt;"",ISNUMBER(Jnl[[#This Row],[Bal]]))</f>
        <v>1</v>
      </c>
      <c r="J67" s="9">
        <f>IF(Jnl[[#This Row],[BSLv0]]="A",1,-1)*Jnl[[#This Row],[Bal]]</f>
        <v>-76031.259999999995</v>
      </c>
      <c r="K67" t="str">
        <f>_xlfn.XLOOKUP(Jnl[[#This Row],[Acct]], config_BS[Acct], config_BS[Lv0],,0)</f>
        <v>LC</v>
      </c>
      <c r="L67" t="str">
        <f>_xlfn.XLOOKUP(Jnl[[#This Row],[Acct]], config_BS[Acct], config_BS[Lv1],,0)</f>
        <v>Liability</v>
      </c>
      <c r="M67" t="str">
        <f>_xlfn.XLOOKUP(Jnl[[#This Row],[Acct]], config_BS[Acct], config_BS[Lv2],,0)</f>
        <v>Rec-Pay</v>
      </c>
      <c r="N67" t="str">
        <f>_xlfn.XLOOKUP(Jnl[[#This Row],[TrxId]], Trx[Id], Trx[IncNode], ,0)</f>
        <v>Other</v>
      </c>
      <c r="O67" t="str">
        <f>_xlfn.XLOOKUP(Jnl[[#This Row],[IncNode]], config_IS[Node], config_IS[Type],,0)</f>
        <v>Non-Op</v>
      </c>
      <c r="P67" t="str">
        <f>_xlfn.XLOOKUP(Jnl[[#This Row],[BSLv2]], dict[Key], dict[Name],,0)</f>
        <v>1.应收-应付</v>
      </c>
      <c r="Q67" t="str">
        <f>_xlfn.XLOOKUP(Jnl[[#This Row],[Acct]], dict[Key], dict[Name],,0)</f>
        <v>应付-薪资</v>
      </c>
      <c r="R67" t="str">
        <f>_xlfn.XLOOKUP(Jnl[[#This Row],[Vehicle]],config_vehicle[Id], config_vehicle[Name],,0)</f>
        <v>榆乐</v>
      </c>
    </row>
    <row r="68" spans="1:18">
      <c r="A68" s="10" t="s">
        <v>173</v>
      </c>
      <c r="B68" s="6">
        <f>_xlfn.XLOOKUP(Jnl[[#This Row],[TrxId]], Trx[Id], Trx[Date],,0)</f>
        <v>46022</v>
      </c>
      <c r="C68" s="6" t="str">
        <f>_xlfn.XLOOKUP(Jnl[[#This Row],[TrxId]], Trx[Id], Trx[Division],,0)</f>
        <v>Ctrl</v>
      </c>
      <c r="D68" s="6" t="str">
        <f>_xlfn.XLOOKUP(Jnl[[#This Row],[TrxId]], Trx[Id], Trx[Action],,0)</f>
        <v>forward</v>
      </c>
      <c r="E68" s="6" t="s">
        <v>93</v>
      </c>
      <c r="F68" s="10" t="s">
        <v>143</v>
      </c>
      <c r="G68" s="10" t="s">
        <v>169</v>
      </c>
      <c r="H68" s="30">
        <v>77772.66</v>
      </c>
      <c r="I68" s="11" t="b">
        <f>AND(Jnl[[#This Row],[TrxId]]&lt;&gt;"",Jnl[[#This Row],[Acct]]&lt;&gt;"",Jnl[[#This Row],[Item]]&lt;&gt;"",ISNUMBER(Jnl[[#This Row],[Bal]]))</f>
        <v>1</v>
      </c>
      <c r="J68" s="9">
        <f>IF(Jnl[[#This Row],[BSLv0]]="A",1,-1)*Jnl[[#This Row],[Bal]]</f>
        <v>-77772.66</v>
      </c>
      <c r="K68" t="str">
        <f>_xlfn.XLOOKUP(Jnl[[#This Row],[Acct]], config_BS[Acct], config_BS[Lv0],,0)</f>
        <v>LC</v>
      </c>
      <c r="L68" t="str">
        <f>_xlfn.XLOOKUP(Jnl[[#This Row],[Acct]], config_BS[Acct], config_BS[Lv1],,0)</f>
        <v>Liability</v>
      </c>
      <c r="M68" t="str">
        <f>_xlfn.XLOOKUP(Jnl[[#This Row],[Acct]], config_BS[Acct], config_BS[Lv2],,0)</f>
        <v>Rec-Pay</v>
      </c>
      <c r="N68" t="str">
        <f>_xlfn.XLOOKUP(Jnl[[#This Row],[TrxId]], Trx[Id], Trx[IncNode], ,0)</f>
        <v>Other</v>
      </c>
      <c r="O68" t="str">
        <f>_xlfn.XLOOKUP(Jnl[[#This Row],[IncNode]], config_IS[Node], config_IS[Type],,0)</f>
        <v>Non-Op</v>
      </c>
      <c r="P68" t="str">
        <f>_xlfn.XLOOKUP(Jnl[[#This Row],[BSLv2]], dict[Key], dict[Name],,0)</f>
        <v>1.应收-应付</v>
      </c>
      <c r="Q68" t="str">
        <f>_xlfn.XLOOKUP(Jnl[[#This Row],[Acct]], dict[Key], dict[Name],,0)</f>
        <v>应付-税款</v>
      </c>
      <c r="R68" t="str">
        <f>_xlfn.XLOOKUP(Jnl[[#This Row],[Vehicle]],config_vehicle[Id], config_vehicle[Name],,0)</f>
        <v>桑木</v>
      </c>
    </row>
    <row r="69" spans="1:18">
      <c r="A69" s="10" t="s">
        <v>173</v>
      </c>
      <c r="B69" s="6">
        <f>_xlfn.XLOOKUP(Jnl[[#This Row],[TrxId]], Trx[Id], Trx[Date],,0)</f>
        <v>46022</v>
      </c>
      <c r="C69" s="6" t="str">
        <f>_xlfn.XLOOKUP(Jnl[[#This Row],[TrxId]], Trx[Id], Trx[Division],,0)</f>
        <v>Ctrl</v>
      </c>
      <c r="D69" s="6" t="str">
        <f>_xlfn.XLOOKUP(Jnl[[#This Row],[TrxId]], Trx[Id], Trx[Action],,0)</f>
        <v>forward</v>
      </c>
      <c r="E69" s="6" t="s">
        <v>93</v>
      </c>
      <c r="F69" s="10" t="s">
        <v>223</v>
      </c>
      <c r="G69" s="29" t="s">
        <v>170</v>
      </c>
      <c r="H69" s="30">
        <v>18440</v>
      </c>
      <c r="I69" s="11" t="b">
        <f>AND(Jnl[[#This Row],[TrxId]]&lt;&gt;"",Jnl[[#This Row],[Acct]]&lt;&gt;"",Jnl[[#This Row],[Item]]&lt;&gt;"",ISNUMBER(Jnl[[#This Row],[Bal]]))</f>
        <v>1</v>
      </c>
      <c r="J69" s="9">
        <f>IF(Jnl[[#This Row],[BSLv0]]="A",1,-1)*Jnl[[#This Row],[Bal]]</f>
        <v>-18440</v>
      </c>
      <c r="K69" t="str">
        <f>_xlfn.XLOOKUP(Jnl[[#This Row],[Acct]], config_BS[Acct], config_BS[Lv0],,0)</f>
        <v>LC</v>
      </c>
      <c r="L69" t="str">
        <f>_xlfn.XLOOKUP(Jnl[[#This Row],[Acct]], config_BS[Acct], config_BS[Lv1],,0)</f>
        <v>Liability</v>
      </c>
      <c r="M69" t="str">
        <f>_xlfn.XLOOKUP(Jnl[[#This Row],[Acct]], config_BS[Acct], config_BS[Lv2],,0)</f>
        <v>Rec-Pay</v>
      </c>
      <c r="N69" t="str">
        <f>_xlfn.XLOOKUP(Jnl[[#This Row],[TrxId]], Trx[Id], Trx[IncNode], ,0)</f>
        <v>Other</v>
      </c>
      <c r="O69" t="str">
        <f>_xlfn.XLOOKUP(Jnl[[#This Row],[IncNode]], config_IS[Node], config_IS[Type],,0)</f>
        <v>Non-Op</v>
      </c>
      <c r="P69" t="str">
        <f>_xlfn.XLOOKUP(Jnl[[#This Row],[BSLv2]], dict[Key], dict[Name],,0)</f>
        <v>1.应收-应付</v>
      </c>
      <c r="Q69" t="str">
        <f>_xlfn.XLOOKUP(Jnl[[#This Row],[Acct]], dict[Key], dict[Name],,0)</f>
        <v>应付-薪资</v>
      </c>
      <c r="R69" t="str">
        <f>_xlfn.XLOOKUP(Jnl[[#This Row],[Vehicle]],config_vehicle[Id], config_vehicle[Name],,0)</f>
        <v>桑木</v>
      </c>
    </row>
    <row r="70" spans="1:18">
      <c r="A70" s="10" t="s">
        <v>173</v>
      </c>
      <c r="B70" s="6">
        <f>_xlfn.XLOOKUP(Jnl[[#This Row],[TrxId]], Trx[Id], Trx[Date],,0)</f>
        <v>46022</v>
      </c>
      <c r="C70" s="6" t="str">
        <f>_xlfn.XLOOKUP(Jnl[[#This Row],[TrxId]], Trx[Id], Trx[Division],,0)</f>
        <v>Ctrl</v>
      </c>
      <c r="D70" s="6" t="str">
        <f>_xlfn.XLOOKUP(Jnl[[#This Row],[TrxId]], Trx[Id], Trx[Action],,0)</f>
        <v>forward</v>
      </c>
      <c r="E70" s="6" t="s">
        <v>90</v>
      </c>
      <c r="F70" s="10" t="s">
        <v>143</v>
      </c>
      <c r="G70" s="10" t="s">
        <v>169</v>
      </c>
      <c r="H70" s="30">
        <v>30461.37</v>
      </c>
      <c r="I70" s="11" t="b">
        <f>AND(Jnl[[#This Row],[TrxId]]&lt;&gt;"",Jnl[[#This Row],[Acct]]&lt;&gt;"",Jnl[[#This Row],[Item]]&lt;&gt;"",ISNUMBER(Jnl[[#This Row],[Bal]]))</f>
        <v>1</v>
      </c>
      <c r="J70" s="9">
        <f>IF(Jnl[[#This Row],[BSLv0]]="A",1,-1)*Jnl[[#This Row],[Bal]]</f>
        <v>-30461.37</v>
      </c>
      <c r="K70" t="str">
        <f>_xlfn.XLOOKUP(Jnl[[#This Row],[Acct]], config_BS[Acct], config_BS[Lv0],,0)</f>
        <v>LC</v>
      </c>
      <c r="L70" t="str">
        <f>_xlfn.XLOOKUP(Jnl[[#This Row],[Acct]], config_BS[Acct], config_BS[Lv1],,0)</f>
        <v>Liability</v>
      </c>
      <c r="M70" t="str">
        <f>_xlfn.XLOOKUP(Jnl[[#This Row],[Acct]], config_BS[Acct], config_BS[Lv2],,0)</f>
        <v>Rec-Pay</v>
      </c>
      <c r="N70" t="str">
        <f>_xlfn.XLOOKUP(Jnl[[#This Row],[TrxId]], Trx[Id], Trx[IncNode], ,0)</f>
        <v>Other</v>
      </c>
      <c r="O70" t="str">
        <f>_xlfn.XLOOKUP(Jnl[[#This Row],[IncNode]], config_IS[Node], config_IS[Type],,0)</f>
        <v>Non-Op</v>
      </c>
      <c r="P70" t="str">
        <f>_xlfn.XLOOKUP(Jnl[[#This Row],[BSLv2]], dict[Key], dict[Name],,0)</f>
        <v>1.应收-应付</v>
      </c>
      <c r="Q70" t="str">
        <f>_xlfn.XLOOKUP(Jnl[[#This Row],[Acct]], dict[Key], dict[Name],,0)</f>
        <v>应付-税款</v>
      </c>
      <c r="R70" t="str">
        <f>_xlfn.XLOOKUP(Jnl[[#This Row],[Vehicle]],config_vehicle[Id], config_vehicle[Name],,0)</f>
        <v>米小易</v>
      </c>
    </row>
    <row r="71" spans="1:18">
      <c r="A71" s="10" t="s">
        <v>173</v>
      </c>
      <c r="B71" s="6">
        <f>_xlfn.XLOOKUP(Jnl[[#This Row],[TrxId]], Trx[Id], Trx[Date],,0)</f>
        <v>46022</v>
      </c>
      <c r="C71" s="6" t="str">
        <f>_xlfn.XLOOKUP(Jnl[[#This Row],[TrxId]], Trx[Id], Trx[Division],,0)</f>
        <v>Ctrl</v>
      </c>
      <c r="D71" s="6" t="str">
        <f>_xlfn.XLOOKUP(Jnl[[#This Row],[TrxId]], Trx[Id], Trx[Action],,0)</f>
        <v>forward</v>
      </c>
      <c r="E71" s="6" t="s">
        <v>90</v>
      </c>
      <c r="F71" s="10" t="s">
        <v>223</v>
      </c>
      <c r="G71" s="29" t="s">
        <v>170</v>
      </c>
      <c r="H71" s="30">
        <v>156507.97</v>
      </c>
      <c r="I71" s="11" t="b">
        <f>AND(Jnl[[#This Row],[TrxId]]&lt;&gt;"",Jnl[[#This Row],[Acct]]&lt;&gt;"",Jnl[[#This Row],[Item]]&lt;&gt;"",ISNUMBER(Jnl[[#This Row],[Bal]]))</f>
        <v>1</v>
      </c>
      <c r="J71" s="9">
        <f>IF(Jnl[[#This Row],[BSLv0]]="A",1,-1)*Jnl[[#This Row],[Bal]]</f>
        <v>-156507.97</v>
      </c>
      <c r="K71" t="str">
        <f>_xlfn.XLOOKUP(Jnl[[#This Row],[Acct]], config_BS[Acct], config_BS[Lv0],,0)</f>
        <v>LC</v>
      </c>
      <c r="L71" t="str">
        <f>_xlfn.XLOOKUP(Jnl[[#This Row],[Acct]], config_BS[Acct], config_BS[Lv1],,0)</f>
        <v>Liability</v>
      </c>
      <c r="M71" t="str">
        <f>_xlfn.XLOOKUP(Jnl[[#This Row],[Acct]], config_BS[Acct], config_BS[Lv2],,0)</f>
        <v>Rec-Pay</v>
      </c>
      <c r="N71" t="str">
        <f>_xlfn.XLOOKUP(Jnl[[#This Row],[TrxId]], Trx[Id], Trx[IncNode], ,0)</f>
        <v>Other</v>
      </c>
      <c r="O71" t="str">
        <f>_xlfn.XLOOKUP(Jnl[[#This Row],[IncNode]], config_IS[Node], config_IS[Type],,0)</f>
        <v>Non-Op</v>
      </c>
      <c r="P71" t="str">
        <f>_xlfn.XLOOKUP(Jnl[[#This Row],[BSLv2]], dict[Key], dict[Name],,0)</f>
        <v>1.应收-应付</v>
      </c>
      <c r="Q71" t="str">
        <f>_xlfn.XLOOKUP(Jnl[[#This Row],[Acct]], dict[Key], dict[Name],,0)</f>
        <v>应付-薪资</v>
      </c>
      <c r="R71" t="str">
        <f>_xlfn.XLOOKUP(Jnl[[#This Row],[Vehicle]],config_vehicle[Id], config_vehicle[Name],,0)</f>
        <v>米小易</v>
      </c>
    </row>
    <row r="72" spans="1:18">
      <c r="A72" s="10" t="s">
        <v>173</v>
      </c>
      <c r="B72" s="6">
        <f>_xlfn.XLOOKUP(Jnl[[#This Row],[TrxId]], Trx[Id], Trx[Date],,0)</f>
        <v>46022</v>
      </c>
      <c r="C72" s="6" t="str">
        <f>_xlfn.XLOOKUP(Jnl[[#This Row],[TrxId]], Trx[Id], Trx[Division],,0)</f>
        <v>Ctrl</v>
      </c>
      <c r="D72" s="6" t="str">
        <f>_xlfn.XLOOKUP(Jnl[[#This Row],[TrxId]], Trx[Id], Trx[Action],,0)</f>
        <v>forward</v>
      </c>
      <c r="E72" s="6" t="s">
        <v>90</v>
      </c>
      <c r="F72" s="10" t="s">
        <v>147</v>
      </c>
      <c r="G72" s="10" t="s">
        <v>171</v>
      </c>
      <c r="H72" s="30">
        <v>50507.19</v>
      </c>
      <c r="I72" s="11" t="b">
        <f>AND(Jnl[[#This Row],[TrxId]]&lt;&gt;"",Jnl[[#This Row],[Acct]]&lt;&gt;"",Jnl[[#This Row],[Item]]&lt;&gt;"",ISNUMBER(Jnl[[#This Row],[Bal]]))</f>
        <v>1</v>
      </c>
      <c r="J72" s="9">
        <f>IF(Jnl[[#This Row],[BSLv0]]="A",1,-1)*Jnl[[#This Row],[Bal]]</f>
        <v>-50507.19</v>
      </c>
      <c r="K72" t="str">
        <f>_xlfn.XLOOKUP(Jnl[[#This Row],[Acct]], config_BS[Acct], config_BS[Lv0],,0)</f>
        <v>LC</v>
      </c>
      <c r="L72" t="str">
        <f>_xlfn.XLOOKUP(Jnl[[#This Row],[Acct]], config_BS[Acct], config_BS[Lv1],,0)</f>
        <v>Liability</v>
      </c>
      <c r="M72" t="str">
        <f>_xlfn.XLOOKUP(Jnl[[#This Row],[Acct]], config_BS[Acct], config_BS[Lv2],,0)</f>
        <v>Rec-Pay</v>
      </c>
      <c r="N72" t="str">
        <f>_xlfn.XLOOKUP(Jnl[[#This Row],[TrxId]], Trx[Id], Trx[IncNode], ,0)</f>
        <v>Other</v>
      </c>
      <c r="O72" t="str">
        <f>_xlfn.XLOOKUP(Jnl[[#This Row],[IncNode]], config_IS[Node], config_IS[Type],,0)</f>
        <v>Non-Op</v>
      </c>
      <c r="P72" t="str">
        <f>_xlfn.XLOOKUP(Jnl[[#This Row],[BSLv2]], dict[Key], dict[Name],,0)</f>
        <v>1.应收-应付</v>
      </c>
      <c r="Q72" t="str">
        <f>_xlfn.XLOOKUP(Jnl[[#This Row],[Acct]], dict[Key], dict[Name],,0)</f>
        <v>应付-其他</v>
      </c>
      <c r="R72" t="str">
        <f>_xlfn.XLOOKUP(Jnl[[#This Row],[Vehicle]],config_vehicle[Id], config_vehicle[Name],,0)</f>
        <v>米小易</v>
      </c>
    </row>
    <row r="73" spans="1:18">
      <c r="A73" s="10" t="s">
        <v>173</v>
      </c>
      <c r="B73" s="6">
        <f>_xlfn.XLOOKUP(Jnl[[#This Row],[TrxId]], Trx[Id], Trx[Date],,0)</f>
        <v>46022</v>
      </c>
      <c r="C73" s="6" t="str">
        <f>_xlfn.XLOOKUP(Jnl[[#This Row],[TrxId]], Trx[Id], Trx[Division],,0)</f>
        <v>Ctrl</v>
      </c>
      <c r="D73" s="6" t="str">
        <f>_xlfn.XLOOKUP(Jnl[[#This Row],[TrxId]], Trx[Id], Trx[Action],,0)</f>
        <v>forward</v>
      </c>
      <c r="E73" s="6" t="s">
        <v>91</v>
      </c>
      <c r="F73" s="10" t="s">
        <v>143</v>
      </c>
      <c r="G73" s="29" t="s">
        <v>169</v>
      </c>
      <c r="H73" s="30">
        <v>12351.18</v>
      </c>
      <c r="I73" s="11" t="b">
        <f>AND(Jnl[[#This Row],[TrxId]]&lt;&gt;"",Jnl[[#This Row],[Acct]]&lt;&gt;"",Jnl[[#This Row],[Item]]&lt;&gt;"",ISNUMBER(Jnl[[#This Row],[Bal]]))</f>
        <v>1</v>
      </c>
      <c r="J73" s="9">
        <f>IF(Jnl[[#This Row],[BSLv0]]="A",1,-1)*Jnl[[#This Row],[Bal]]</f>
        <v>-12351.18</v>
      </c>
      <c r="K73" t="str">
        <f>_xlfn.XLOOKUP(Jnl[[#This Row],[Acct]], config_BS[Acct], config_BS[Lv0],,0)</f>
        <v>LC</v>
      </c>
      <c r="L73" t="str">
        <f>_xlfn.XLOOKUP(Jnl[[#This Row],[Acct]], config_BS[Acct], config_BS[Lv1],,0)</f>
        <v>Liability</v>
      </c>
      <c r="M73" t="str">
        <f>_xlfn.XLOOKUP(Jnl[[#This Row],[Acct]], config_BS[Acct], config_BS[Lv2],,0)</f>
        <v>Rec-Pay</v>
      </c>
      <c r="N73" t="str">
        <f>_xlfn.XLOOKUP(Jnl[[#This Row],[TrxId]], Trx[Id], Trx[IncNode], ,0)</f>
        <v>Other</v>
      </c>
      <c r="O73" t="str">
        <f>_xlfn.XLOOKUP(Jnl[[#This Row],[IncNode]], config_IS[Node], config_IS[Type],,0)</f>
        <v>Non-Op</v>
      </c>
      <c r="P73" t="str">
        <f>_xlfn.XLOOKUP(Jnl[[#This Row],[BSLv2]], dict[Key], dict[Name],,0)</f>
        <v>1.应收-应付</v>
      </c>
      <c r="Q73" t="str">
        <f>_xlfn.XLOOKUP(Jnl[[#This Row],[Acct]], dict[Key], dict[Name],,0)</f>
        <v>应付-税款</v>
      </c>
      <c r="R73" t="str">
        <f>_xlfn.XLOOKUP(Jnl[[#This Row],[Vehicle]],config_vehicle[Id], config_vehicle[Name],,0)</f>
        <v>远家文化</v>
      </c>
    </row>
    <row r="74" spans="1:18">
      <c r="A74" s="10" t="s">
        <v>173</v>
      </c>
      <c r="B74" s="6">
        <f>_xlfn.XLOOKUP(Jnl[[#This Row],[TrxId]], Trx[Id], Trx[Date],,0)</f>
        <v>46022</v>
      </c>
      <c r="C74" s="6" t="str">
        <f>_xlfn.XLOOKUP(Jnl[[#This Row],[TrxId]], Trx[Id], Trx[Division],,0)</f>
        <v>Ctrl</v>
      </c>
      <c r="D74" s="6" t="str">
        <f>_xlfn.XLOOKUP(Jnl[[#This Row],[TrxId]], Trx[Id], Trx[Action],,0)</f>
        <v>forward</v>
      </c>
      <c r="E74" s="6" t="s">
        <v>91</v>
      </c>
      <c r="F74" s="10" t="s">
        <v>223</v>
      </c>
      <c r="G74" s="10" t="s">
        <v>170</v>
      </c>
      <c r="H74" s="30">
        <v>112127.37</v>
      </c>
      <c r="I74" s="11" t="b">
        <f>AND(Jnl[[#This Row],[TrxId]]&lt;&gt;"",Jnl[[#This Row],[Acct]]&lt;&gt;"",Jnl[[#This Row],[Item]]&lt;&gt;"",ISNUMBER(Jnl[[#This Row],[Bal]]))</f>
        <v>1</v>
      </c>
      <c r="J74" s="9">
        <f>IF(Jnl[[#This Row],[BSLv0]]="A",1,-1)*Jnl[[#This Row],[Bal]]</f>
        <v>-112127.37</v>
      </c>
      <c r="K74" t="str">
        <f>_xlfn.XLOOKUP(Jnl[[#This Row],[Acct]], config_BS[Acct], config_BS[Lv0],,0)</f>
        <v>LC</v>
      </c>
      <c r="L74" t="str">
        <f>_xlfn.XLOOKUP(Jnl[[#This Row],[Acct]], config_BS[Acct], config_BS[Lv1],,0)</f>
        <v>Liability</v>
      </c>
      <c r="M74" t="str">
        <f>_xlfn.XLOOKUP(Jnl[[#This Row],[Acct]], config_BS[Acct], config_BS[Lv2],,0)</f>
        <v>Rec-Pay</v>
      </c>
      <c r="N74" t="str">
        <f>_xlfn.XLOOKUP(Jnl[[#This Row],[TrxId]], Trx[Id], Trx[IncNode], ,0)</f>
        <v>Other</v>
      </c>
      <c r="O74" t="str">
        <f>_xlfn.XLOOKUP(Jnl[[#This Row],[IncNode]], config_IS[Node], config_IS[Type],,0)</f>
        <v>Non-Op</v>
      </c>
      <c r="P74" t="str">
        <f>_xlfn.XLOOKUP(Jnl[[#This Row],[BSLv2]], dict[Key], dict[Name],,0)</f>
        <v>1.应收-应付</v>
      </c>
      <c r="Q74" t="str">
        <f>_xlfn.XLOOKUP(Jnl[[#This Row],[Acct]], dict[Key], dict[Name],,0)</f>
        <v>应付-薪资</v>
      </c>
      <c r="R74" t="str">
        <f>_xlfn.XLOOKUP(Jnl[[#This Row],[Vehicle]],config_vehicle[Id], config_vehicle[Name],,0)</f>
        <v>远家文化</v>
      </c>
    </row>
    <row r="75" spans="1:18">
      <c r="A75" s="10" t="s">
        <v>173</v>
      </c>
      <c r="B75" s="6">
        <f>_xlfn.XLOOKUP(Jnl[[#This Row],[TrxId]], Trx[Id], Trx[Date],,0)</f>
        <v>46022</v>
      </c>
      <c r="C75" s="6" t="str">
        <f>_xlfn.XLOOKUP(Jnl[[#This Row],[TrxId]], Trx[Id], Trx[Division],,0)</f>
        <v>Ctrl</v>
      </c>
      <c r="D75" s="6" t="str">
        <f>_xlfn.XLOOKUP(Jnl[[#This Row],[TrxId]], Trx[Id], Trx[Action],,0)</f>
        <v>forward</v>
      </c>
      <c r="E75" s="6" t="s">
        <v>91</v>
      </c>
      <c r="F75" s="10" t="s">
        <v>147</v>
      </c>
      <c r="G75" s="29" t="s">
        <v>172</v>
      </c>
      <c r="H75" s="30">
        <v>389468.04000000004</v>
      </c>
      <c r="I75" s="11" t="b">
        <f>AND(Jnl[[#This Row],[TrxId]]&lt;&gt;"",Jnl[[#This Row],[Acct]]&lt;&gt;"",Jnl[[#This Row],[Item]]&lt;&gt;"",ISNUMBER(Jnl[[#This Row],[Bal]]))</f>
        <v>1</v>
      </c>
      <c r="J75" s="9">
        <f>IF(Jnl[[#This Row],[BSLv0]]="A",1,-1)*Jnl[[#This Row],[Bal]]</f>
        <v>-389468.04000000004</v>
      </c>
      <c r="K75" t="str">
        <f>_xlfn.XLOOKUP(Jnl[[#This Row],[Acct]], config_BS[Acct], config_BS[Lv0],,0)</f>
        <v>LC</v>
      </c>
      <c r="L75" t="str">
        <f>_xlfn.XLOOKUP(Jnl[[#This Row],[Acct]], config_BS[Acct], config_BS[Lv1],,0)</f>
        <v>Liability</v>
      </c>
      <c r="M75" t="str">
        <f>_xlfn.XLOOKUP(Jnl[[#This Row],[Acct]], config_BS[Acct], config_BS[Lv2],,0)</f>
        <v>Rec-Pay</v>
      </c>
      <c r="N75" t="str">
        <f>_xlfn.XLOOKUP(Jnl[[#This Row],[TrxId]], Trx[Id], Trx[IncNode], ,0)</f>
        <v>Other</v>
      </c>
      <c r="O75" t="str">
        <f>_xlfn.XLOOKUP(Jnl[[#This Row],[IncNode]], config_IS[Node], config_IS[Type],,0)</f>
        <v>Non-Op</v>
      </c>
      <c r="P75" t="str">
        <f>_xlfn.XLOOKUP(Jnl[[#This Row],[BSLv2]], dict[Key], dict[Name],,0)</f>
        <v>1.应收-应付</v>
      </c>
      <c r="Q75" t="str">
        <f>_xlfn.XLOOKUP(Jnl[[#This Row],[Acct]], dict[Key], dict[Name],,0)</f>
        <v>应付-其他</v>
      </c>
      <c r="R75" t="str">
        <f>_xlfn.XLOOKUP(Jnl[[#This Row],[Vehicle]],config_vehicle[Id], config_vehicle[Name],,0)</f>
        <v>远家文化</v>
      </c>
    </row>
    <row r="76" spans="1:18">
      <c r="A76" s="10" t="s">
        <v>173</v>
      </c>
      <c r="B76" s="6">
        <f>_xlfn.XLOOKUP(Jnl[[#This Row],[TrxId]], Trx[Id], Trx[Date],,0)</f>
        <v>46022</v>
      </c>
      <c r="C76" s="6" t="str">
        <f>_xlfn.XLOOKUP(Jnl[[#This Row],[TrxId]], Trx[Id], Trx[Division],,0)</f>
        <v>Ctrl</v>
      </c>
      <c r="D76" s="6" t="str">
        <f>_xlfn.XLOOKUP(Jnl[[#This Row],[TrxId]], Trx[Id], Trx[Action],,0)</f>
        <v>forward</v>
      </c>
      <c r="E76" s="6" t="s">
        <v>91</v>
      </c>
      <c r="F76" s="10" t="s">
        <v>147</v>
      </c>
      <c r="G76" s="10" t="s">
        <v>157</v>
      </c>
      <c r="H76" s="30">
        <v>5997.5</v>
      </c>
      <c r="I76" s="11" t="b">
        <f>AND(Jnl[[#This Row],[TrxId]]&lt;&gt;"",Jnl[[#This Row],[Acct]]&lt;&gt;"",Jnl[[#This Row],[Item]]&lt;&gt;"",ISNUMBER(Jnl[[#This Row],[Bal]]))</f>
        <v>1</v>
      </c>
      <c r="J76" s="9">
        <f>IF(Jnl[[#This Row],[BSLv0]]="A",1,-1)*Jnl[[#This Row],[Bal]]</f>
        <v>-5997.5</v>
      </c>
      <c r="K76" t="str">
        <f>_xlfn.XLOOKUP(Jnl[[#This Row],[Acct]], config_BS[Acct], config_BS[Lv0],,0)</f>
        <v>LC</v>
      </c>
      <c r="L76" t="str">
        <f>_xlfn.XLOOKUP(Jnl[[#This Row],[Acct]], config_BS[Acct], config_BS[Lv1],,0)</f>
        <v>Liability</v>
      </c>
      <c r="M76" t="str">
        <f>_xlfn.XLOOKUP(Jnl[[#This Row],[Acct]], config_BS[Acct], config_BS[Lv2],,0)</f>
        <v>Rec-Pay</v>
      </c>
      <c r="N76" t="str">
        <f>_xlfn.XLOOKUP(Jnl[[#This Row],[TrxId]], Trx[Id], Trx[IncNode], ,0)</f>
        <v>Other</v>
      </c>
      <c r="O76" t="str">
        <f>_xlfn.XLOOKUP(Jnl[[#This Row],[IncNode]], config_IS[Node], config_IS[Type],,0)</f>
        <v>Non-Op</v>
      </c>
      <c r="P76" t="str">
        <f>_xlfn.XLOOKUP(Jnl[[#This Row],[BSLv2]], dict[Key], dict[Name],,0)</f>
        <v>1.应收-应付</v>
      </c>
      <c r="Q76" t="str">
        <f>_xlfn.XLOOKUP(Jnl[[#This Row],[Acct]], dict[Key], dict[Name],,0)</f>
        <v>应付-其他</v>
      </c>
      <c r="R76" t="str">
        <f>_xlfn.XLOOKUP(Jnl[[#This Row],[Vehicle]],config_vehicle[Id], config_vehicle[Name],,0)</f>
        <v>远家文化</v>
      </c>
    </row>
    <row r="77" spans="1:18">
      <c r="A77" s="10" t="s">
        <v>173</v>
      </c>
      <c r="B77" s="6">
        <f>_xlfn.XLOOKUP(Jnl[[#This Row],[TrxId]], Trx[Id], Trx[Date],,0)</f>
        <v>46022</v>
      </c>
      <c r="C77" s="6" t="str">
        <f>_xlfn.XLOOKUP(Jnl[[#This Row],[TrxId]], Trx[Id], Trx[Division],,0)</f>
        <v>Ctrl</v>
      </c>
      <c r="D77" s="6" t="str">
        <f>_xlfn.XLOOKUP(Jnl[[#This Row],[TrxId]], Trx[Id], Trx[Action],,0)</f>
        <v>forward</v>
      </c>
      <c r="E77" s="6" t="s">
        <v>91</v>
      </c>
      <c r="F77" s="10" t="s">
        <v>126</v>
      </c>
      <c r="G77" s="29" t="s">
        <v>155</v>
      </c>
      <c r="H77" s="30">
        <v>25551.3</v>
      </c>
      <c r="I77" s="11" t="b">
        <f>AND(Jnl[[#This Row],[TrxId]]&lt;&gt;"",Jnl[[#This Row],[Acct]]&lt;&gt;"",Jnl[[#This Row],[Item]]&lt;&gt;"",ISNUMBER(Jnl[[#This Row],[Bal]]))</f>
        <v>1</v>
      </c>
      <c r="J77" s="9">
        <f>IF(Jnl[[#This Row],[BSLv0]]="A",1,-1)*Jnl[[#This Row],[Bal]]</f>
        <v>-25551.3</v>
      </c>
      <c r="K77" t="str">
        <f>_xlfn.XLOOKUP(Jnl[[#This Row],[Acct]], config_BS[Acct], config_BS[Lv0],,0)</f>
        <v>LC</v>
      </c>
      <c r="L77" t="str">
        <f>_xlfn.XLOOKUP(Jnl[[#This Row],[Acct]], config_BS[Acct], config_BS[Lv1],,0)</f>
        <v>Liability</v>
      </c>
      <c r="M77" t="str">
        <f>_xlfn.XLOOKUP(Jnl[[#This Row],[Acct]], config_BS[Acct], config_BS[Lv2],,0)</f>
        <v>Rec-Pay</v>
      </c>
      <c r="N77" t="str">
        <f>_xlfn.XLOOKUP(Jnl[[#This Row],[TrxId]], Trx[Id], Trx[IncNode], ,0)</f>
        <v>Other</v>
      </c>
      <c r="O77" t="str">
        <f>_xlfn.XLOOKUP(Jnl[[#This Row],[IncNode]], config_IS[Node], config_IS[Type],,0)</f>
        <v>Non-Op</v>
      </c>
      <c r="P77" t="str">
        <f>_xlfn.XLOOKUP(Jnl[[#This Row],[BSLv2]], dict[Key], dict[Name],,0)</f>
        <v>1.应收-应付</v>
      </c>
      <c r="Q77" t="str">
        <f>_xlfn.XLOOKUP(Jnl[[#This Row],[Acct]], dict[Key], dict[Name],,0)</f>
        <v>应付-一般</v>
      </c>
      <c r="R77" t="str">
        <f>_xlfn.XLOOKUP(Jnl[[#This Row],[Vehicle]],config_vehicle[Id], config_vehicle[Name],,0)</f>
        <v>远家文化</v>
      </c>
    </row>
    <row r="78" spans="1:18">
      <c r="A78" s="10" t="s">
        <v>173</v>
      </c>
      <c r="B78" s="6">
        <f>_xlfn.XLOOKUP(Jnl[[#This Row],[TrxId]], Trx[Id], Trx[Date],,0)</f>
        <v>46022</v>
      </c>
      <c r="C78" s="6" t="str">
        <f>_xlfn.XLOOKUP(Jnl[[#This Row],[TrxId]], Trx[Id], Trx[Division],,0)</f>
        <v>Ctrl</v>
      </c>
      <c r="D78" s="6" t="str">
        <f>_xlfn.XLOOKUP(Jnl[[#This Row],[TrxId]], Trx[Id], Trx[Action],,0)</f>
        <v>forward</v>
      </c>
      <c r="E78" s="6" t="s">
        <v>91</v>
      </c>
      <c r="F78" s="10" t="s">
        <v>181</v>
      </c>
      <c r="G78" s="10" t="s">
        <v>167</v>
      </c>
      <c r="H78" s="30">
        <v>14402045</v>
      </c>
      <c r="I78" s="11" t="b">
        <f>AND(Jnl[[#This Row],[TrxId]]&lt;&gt;"",Jnl[[#This Row],[Acct]]&lt;&gt;"",Jnl[[#This Row],[Item]]&lt;&gt;"",ISNUMBER(Jnl[[#This Row],[Bal]]))</f>
        <v>1</v>
      </c>
      <c r="J78" s="9">
        <f>IF(Jnl[[#This Row],[BSLv0]]="A",1,-1)*Jnl[[#This Row],[Bal]]</f>
        <v>-14402045</v>
      </c>
      <c r="K78" t="str">
        <f>_xlfn.XLOOKUP(Jnl[[#This Row],[Acct]], config_BS[Acct], config_BS[Lv0],,0)</f>
        <v>LC</v>
      </c>
      <c r="L78" t="str">
        <f>_xlfn.XLOOKUP(Jnl[[#This Row],[Acct]], config_BS[Acct], config_BS[Lv1],,0)</f>
        <v>Equity</v>
      </c>
      <c r="M78" t="str">
        <f>_xlfn.XLOOKUP(Jnl[[#This Row],[Acct]], config_BS[Acct], config_BS[Lv2],,0)</f>
        <v>Cap</v>
      </c>
      <c r="N78" t="str">
        <f>_xlfn.XLOOKUP(Jnl[[#This Row],[TrxId]], Trx[Id], Trx[IncNode], ,0)</f>
        <v>Other</v>
      </c>
      <c r="O78" t="str">
        <f>_xlfn.XLOOKUP(Jnl[[#This Row],[IncNode]], config_IS[Node], config_IS[Type],,0)</f>
        <v>Non-Op</v>
      </c>
      <c r="P78" t="str">
        <f>_xlfn.XLOOKUP(Jnl[[#This Row],[BSLv2]], dict[Key], dict[Name],,0)</f>
        <v>X.资本</v>
      </c>
      <c r="Q78" t="str">
        <f>_xlfn.XLOOKUP(Jnl[[#This Row],[Acct]], dict[Key], dict[Name],,0)</f>
        <v>额外投入</v>
      </c>
      <c r="R78" t="str">
        <f>_xlfn.XLOOKUP(Jnl[[#This Row],[Vehicle]],config_vehicle[Id], config_vehicle[Name],,0)</f>
        <v>远家文化</v>
      </c>
    </row>
    <row r="79" spans="1:18">
      <c r="A79" s="10" t="s">
        <v>173</v>
      </c>
      <c r="B79" s="6">
        <f>_xlfn.XLOOKUP(Jnl[[#This Row],[TrxId]], Trx[Id], Trx[Date],,0)</f>
        <v>46022</v>
      </c>
      <c r="C79" s="6" t="str">
        <f>_xlfn.XLOOKUP(Jnl[[#This Row],[TrxId]], Trx[Id], Trx[Division],,0)</f>
        <v>Ctrl</v>
      </c>
      <c r="D79" s="6" t="str">
        <f>_xlfn.XLOOKUP(Jnl[[#This Row],[TrxId]], Trx[Id], Trx[Action],,0)</f>
        <v>forward</v>
      </c>
      <c r="E79" s="6" t="s">
        <v>89</v>
      </c>
      <c r="F79" s="10" t="s">
        <v>18</v>
      </c>
      <c r="G79" s="29" t="s">
        <v>168</v>
      </c>
      <c r="H79" s="30">
        <v>25036191</v>
      </c>
      <c r="I79" s="11" t="b">
        <f>AND(Jnl[[#This Row],[TrxId]]&lt;&gt;"",Jnl[[#This Row],[Acct]]&lt;&gt;"",Jnl[[#This Row],[Item]]&lt;&gt;"",ISNUMBER(Jnl[[#This Row],[Bal]]))</f>
        <v>1</v>
      </c>
      <c r="J79" s="9">
        <f>IF(Jnl[[#This Row],[BSLv0]]="A",1,-1)*Jnl[[#This Row],[Bal]]</f>
        <v>-25036191</v>
      </c>
      <c r="K79" t="str">
        <f>_xlfn.XLOOKUP(Jnl[[#This Row],[Acct]], config_BS[Acct], config_BS[Lv0],,0)</f>
        <v>LC</v>
      </c>
      <c r="L79" t="str">
        <f>_xlfn.XLOOKUP(Jnl[[#This Row],[Acct]], config_BS[Acct], config_BS[Lv1],,0)</f>
        <v>Equity</v>
      </c>
      <c r="M79" t="str">
        <f>_xlfn.XLOOKUP(Jnl[[#This Row],[Acct]], config_BS[Acct], config_BS[Lv2],,0)</f>
        <v>Cap</v>
      </c>
      <c r="N79" t="str">
        <f>_xlfn.XLOOKUP(Jnl[[#This Row],[TrxId]], Trx[Id], Trx[IncNode], ,0)</f>
        <v>Other</v>
      </c>
      <c r="O79" t="str">
        <f>_xlfn.XLOOKUP(Jnl[[#This Row],[IncNode]], config_IS[Node], config_IS[Type],,0)</f>
        <v>Non-Op</v>
      </c>
      <c r="P79" t="str">
        <f>_xlfn.XLOOKUP(Jnl[[#This Row],[BSLv2]], dict[Key], dict[Name],,0)</f>
        <v>X.资本</v>
      </c>
      <c r="Q79" t="str">
        <f>_xlfn.XLOOKUP(Jnl[[#This Row],[Acct]], dict[Key], dict[Name],,0)</f>
        <v>原始资本</v>
      </c>
      <c r="R79" t="str">
        <f>_xlfn.XLOOKUP(Jnl[[#This Row],[Vehicle]],config_vehicle[Id], config_vehicle[Name],,0)</f>
        <v>喜家文化</v>
      </c>
    </row>
    <row r="80" spans="1:18">
      <c r="A80" s="10" t="s">
        <v>173</v>
      </c>
      <c r="B80" s="6">
        <f>_xlfn.XLOOKUP(Jnl[[#This Row],[TrxId]], Trx[Id], Trx[Date],,0)</f>
        <v>46022</v>
      </c>
      <c r="C80" s="6" t="str">
        <f>_xlfn.XLOOKUP(Jnl[[#This Row],[TrxId]], Trx[Id], Trx[Division],,0)</f>
        <v>Ctrl</v>
      </c>
      <c r="D80" s="6" t="str">
        <f>_xlfn.XLOOKUP(Jnl[[#This Row],[TrxId]], Trx[Id], Trx[Action],,0)</f>
        <v>forward</v>
      </c>
      <c r="E80" s="6" t="s">
        <v>89</v>
      </c>
      <c r="F80" s="10" t="s">
        <v>20</v>
      </c>
      <c r="G80" s="10" t="s">
        <v>141</v>
      </c>
      <c r="H80" s="30">
        <v>7657356.6349999905</v>
      </c>
      <c r="I80" s="11" t="b">
        <f>AND(Jnl[[#This Row],[TrxId]]&lt;&gt;"",Jnl[[#This Row],[Acct]]&lt;&gt;"",Jnl[[#This Row],[Item]]&lt;&gt;"",ISNUMBER(Jnl[[#This Row],[Bal]]))</f>
        <v>1</v>
      </c>
      <c r="J80" s="9">
        <f>IF(Jnl[[#This Row],[BSLv0]]="A",1,-1)*Jnl[[#This Row],[Bal]]</f>
        <v>-7657356.6349999905</v>
      </c>
      <c r="K80" t="str">
        <f>_xlfn.XLOOKUP(Jnl[[#This Row],[Acct]], config_BS[Acct], config_BS[Lv0],,0)</f>
        <v>LC</v>
      </c>
      <c r="L80" t="str">
        <f>_xlfn.XLOOKUP(Jnl[[#This Row],[Acct]], config_BS[Acct], config_BS[Lv1],,0)</f>
        <v>Equity</v>
      </c>
      <c r="M80" t="str">
        <f>_xlfn.XLOOKUP(Jnl[[#This Row],[Acct]], config_BS[Acct], config_BS[Lv2],,0)</f>
        <v>Rsv</v>
      </c>
      <c r="N80" t="str">
        <f>_xlfn.XLOOKUP(Jnl[[#This Row],[TrxId]], Trx[Id], Trx[IncNode], ,0)</f>
        <v>Other</v>
      </c>
      <c r="O80" t="str">
        <f>_xlfn.XLOOKUP(Jnl[[#This Row],[IncNode]], config_IS[Node], config_IS[Type],,0)</f>
        <v>Non-Op</v>
      </c>
      <c r="P80" t="str">
        <f>_xlfn.XLOOKUP(Jnl[[#This Row],[BSLv2]], dict[Key], dict[Name],,0)</f>
        <v>9.储备性权益</v>
      </c>
      <c r="Q80" t="str">
        <f>_xlfn.XLOOKUP(Jnl[[#This Row],[Acct]], dict[Key], dict[Name],,0)</f>
        <v>可分配利润</v>
      </c>
      <c r="R80" t="str">
        <f>_xlfn.XLOOKUP(Jnl[[#This Row],[Vehicle]],config_vehicle[Id], config_vehicle[Name],,0)</f>
        <v>喜家文化</v>
      </c>
    </row>
  </sheetData>
  <phoneticPr fontId="5" type="noConversion"/>
  <dataValidations count="2">
    <dataValidation type="list" allowBlank="1" showInputMessage="1" showErrorMessage="1" sqref="F2:F80" xr:uid="{27180EBA-4775-47D1-B40D-F072FAF2E681}">
      <formula1>INDIRECT("config_BS[Acct]")</formula1>
    </dataValidation>
    <dataValidation type="list" allowBlank="1" showInputMessage="1" showErrorMessage="1" sqref="E2:E80" xr:uid="{8960B149-D376-4904-8B46-36BCE9B84524}">
      <formula1>INDIRECT("config_vehicle[Id]")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A1EA-C188-40A8-B534-CB4C298497DB}">
  <sheetPr>
    <tabColor theme="9" tint="0.39997558519241921"/>
  </sheetPr>
  <dimension ref="A1:E29"/>
  <sheetViews>
    <sheetView tabSelected="1" workbookViewId="0">
      <selection activeCell="P30" sqref="P30"/>
    </sheetView>
  </sheetViews>
  <sheetFormatPr defaultRowHeight="15"/>
  <cols>
    <col min="1" max="1" width="19.5703125" bestFit="1" customWidth="1"/>
    <col min="2" max="5" width="13.28515625" customWidth="1"/>
  </cols>
  <sheetData>
    <row r="1" spans="1:5">
      <c r="A1" s="5"/>
      <c r="B1" s="13" t="s">
        <v>178</v>
      </c>
      <c r="C1" s="5"/>
      <c r="D1" s="5"/>
      <c r="E1" s="5"/>
    </row>
    <row r="2" spans="1:5">
      <c r="A2" s="5"/>
      <c r="B2" s="33" t="s">
        <v>130</v>
      </c>
      <c r="C2" s="34"/>
      <c r="D2" s="33" t="s">
        <v>137</v>
      </c>
      <c r="E2" s="34"/>
    </row>
    <row r="3" spans="1:5">
      <c r="A3" s="13" t="s">
        <v>179</v>
      </c>
      <c r="B3" s="17" t="s">
        <v>122</v>
      </c>
      <c r="C3" s="17" t="s">
        <v>183</v>
      </c>
      <c r="D3" s="17" t="s">
        <v>122</v>
      </c>
      <c r="E3" s="17" t="s">
        <v>183</v>
      </c>
    </row>
    <row r="4" spans="1:5">
      <c r="A4" s="14" t="s">
        <v>204</v>
      </c>
      <c r="B4" s="9">
        <v>10484984.029999999</v>
      </c>
      <c r="C4" s="35">
        <v>0.21330337269664856</v>
      </c>
      <c r="D4" s="9"/>
      <c r="E4" s="35">
        <v>0</v>
      </c>
    </row>
    <row r="5" spans="1:5">
      <c r="A5" s="15" t="s">
        <v>185</v>
      </c>
      <c r="B5" s="9">
        <v>10435327.879999999</v>
      </c>
      <c r="C5" s="35">
        <v>0.21229318286328067</v>
      </c>
      <c r="D5" s="9"/>
      <c r="E5" s="35">
        <v>0</v>
      </c>
    </row>
    <row r="6" spans="1:5">
      <c r="A6" s="15" t="s">
        <v>186</v>
      </c>
      <c r="B6" s="9">
        <v>49656.15</v>
      </c>
      <c r="C6" s="35">
        <v>1.01018983336789E-3</v>
      </c>
      <c r="D6" s="9"/>
      <c r="E6" s="35">
        <v>0</v>
      </c>
    </row>
    <row r="7" spans="1:5">
      <c r="A7" s="14" t="s">
        <v>203</v>
      </c>
      <c r="B7" s="9">
        <v>1038915.49</v>
      </c>
      <c r="C7" s="35">
        <v>2.1135385359646684E-2</v>
      </c>
      <c r="D7" s="9">
        <v>2059673.3900000001</v>
      </c>
      <c r="E7" s="35">
        <v>4.190137815452908E-2</v>
      </c>
    </row>
    <row r="8" spans="1:5">
      <c r="A8" s="15" t="s">
        <v>217</v>
      </c>
      <c r="B8" s="9"/>
      <c r="C8" s="35">
        <v>0</v>
      </c>
      <c r="D8" s="9">
        <v>32443.1</v>
      </c>
      <c r="E8" s="35">
        <v>6.6001270308454205E-4</v>
      </c>
    </row>
    <row r="9" spans="1:5">
      <c r="A9" s="15" t="s">
        <v>195</v>
      </c>
      <c r="B9" s="9"/>
      <c r="C9" s="35">
        <v>0</v>
      </c>
      <c r="D9" s="9">
        <v>922996.67</v>
      </c>
      <c r="E9" s="35">
        <v>1.8777167629009901E-2</v>
      </c>
    </row>
    <row r="10" spans="1:5">
      <c r="A10" s="15" t="s">
        <v>196</v>
      </c>
      <c r="B10" s="9"/>
      <c r="C10" s="35">
        <v>0</v>
      </c>
      <c r="D10" s="9">
        <v>448172.73000000004</v>
      </c>
      <c r="E10" s="35">
        <v>9.1174917001173965E-3</v>
      </c>
    </row>
    <row r="11" spans="1:5">
      <c r="A11" s="15" t="s">
        <v>194</v>
      </c>
      <c r="B11" s="9"/>
      <c r="C11" s="35">
        <v>0</v>
      </c>
      <c r="D11" s="9">
        <v>656060.89</v>
      </c>
      <c r="E11" s="35">
        <v>1.334670612231724E-2</v>
      </c>
    </row>
    <row r="12" spans="1:5">
      <c r="A12" s="15" t="s">
        <v>216</v>
      </c>
      <c r="B12" s="9">
        <v>1038915.49</v>
      </c>
      <c r="C12" s="35">
        <v>2.1135385359646684E-2</v>
      </c>
      <c r="D12" s="9"/>
      <c r="E12" s="35">
        <v>0</v>
      </c>
    </row>
    <row r="13" spans="1:5">
      <c r="A13" s="14" t="s">
        <v>205</v>
      </c>
      <c r="B13" s="9">
        <v>318808.92</v>
      </c>
      <c r="C13" s="35">
        <v>6.48575311962359E-3</v>
      </c>
      <c r="D13" s="9"/>
      <c r="E13" s="35">
        <v>0</v>
      </c>
    </row>
    <row r="14" spans="1:5">
      <c r="A14" s="15" t="s">
        <v>187</v>
      </c>
      <c r="B14" s="9">
        <v>318808.92</v>
      </c>
      <c r="C14" s="35">
        <v>6.48575311962359E-3</v>
      </c>
      <c r="D14" s="9"/>
      <c r="E14" s="35">
        <v>0</v>
      </c>
    </row>
    <row r="15" spans="1:5">
      <c r="A15" s="14" t="s">
        <v>206</v>
      </c>
      <c r="B15" s="9">
        <v>10948328.32</v>
      </c>
      <c r="C15" s="35">
        <v>0.22272951006547528</v>
      </c>
      <c r="D15" s="9"/>
      <c r="E15" s="35">
        <v>0</v>
      </c>
    </row>
    <row r="16" spans="1:5">
      <c r="A16" s="15" t="s">
        <v>188</v>
      </c>
      <c r="B16" s="9">
        <v>10948328.32</v>
      </c>
      <c r="C16" s="35">
        <v>0.22272951006547528</v>
      </c>
      <c r="D16" s="9"/>
      <c r="E16" s="35">
        <v>0</v>
      </c>
    </row>
    <row r="17" spans="1:5">
      <c r="A17" s="18" t="s">
        <v>214</v>
      </c>
      <c r="B17" s="9">
        <v>192761.82</v>
      </c>
      <c r="C17" s="35">
        <v>3.9214886942602516E-3</v>
      </c>
      <c r="D17" s="9"/>
      <c r="E17" s="35">
        <v>0</v>
      </c>
    </row>
    <row r="18" spans="1:5">
      <c r="A18" s="18" t="s">
        <v>215</v>
      </c>
      <c r="B18" s="9">
        <v>242182.81</v>
      </c>
      <c r="C18" s="35">
        <v>4.9268945030669382E-3</v>
      </c>
      <c r="D18" s="9"/>
      <c r="E18" s="35">
        <v>0</v>
      </c>
    </row>
    <row r="19" spans="1:5">
      <c r="A19" s="18" t="s">
        <v>174</v>
      </c>
      <c r="B19" s="9">
        <v>10513383.689999999</v>
      </c>
      <c r="C19" s="35">
        <v>0.21388112686814809</v>
      </c>
      <c r="D19" s="9"/>
      <c r="E19" s="35">
        <v>0</v>
      </c>
    </row>
    <row r="20" spans="1:5">
      <c r="A20" s="14" t="s">
        <v>207</v>
      </c>
      <c r="B20" s="9">
        <v>24264229.27</v>
      </c>
      <c r="C20" s="35">
        <v>0.49362420814061453</v>
      </c>
      <c r="D20" s="9"/>
      <c r="E20" s="35">
        <v>0</v>
      </c>
    </row>
    <row r="21" spans="1:5">
      <c r="A21" s="15" t="s">
        <v>191</v>
      </c>
      <c r="B21" s="9">
        <v>24264229.27</v>
      </c>
      <c r="C21" s="35">
        <v>0.49362420814061453</v>
      </c>
      <c r="D21" s="9"/>
      <c r="E21" s="35">
        <v>0</v>
      </c>
    </row>
    <row r="22" spans="1:5">
      <c r="A22" s="14" t="s">
        <v>208</v>
      </c>
      <c r="B22" s="9">
        <v>2100000</v>
      </c>
      <c r="C22" s="35">
        <v>4.2721770617991303E-2</v>
      </c>
      <c r="D22" s="9"/>
      <c r="E22" s="35">
        <v>0</v>
      </c>
    </row>
    <row r="23" spans="1:5">
      <c r="A23" s="15" t="s">
        <v>192</v>
      </c>
      <c r="B23" s="9">
        <v>2100000</v>
      </c>
      <c r="C23" s="35">
        <v>4.2721770617991303E-2</v>
      </c>
      <c r="D23" s="9"/>
      <c r="E23" s="35">
        <v>0</v>
      </c>
    </row>
    <row r="24" spans="1:5">
      <c r="A24" s="14" t="s">
        <v>209</v>
      </c>
      <c r="B24" s="9"/>
      <c r="C24" s="35">
        <v>0</v>
      </c>
      <c r="D24" s="9">
        <v>7657356.6349999905</v>
      </c>
      <c r="E24" s="35">
        <v>0.15577896844471389</v>
      </c>
    </row>
    <row r="25" spans="1:5">
      <c r="A25" s="15" t="s">
        <v>197</v>
      </c>
      <c r="B25" s="9"/>
      <c r="C25" s="35">
        <v>0</v>
      </c>
      <c r="D25" s="9">
        <v>7657356.6349999905</v>
      </c>
      <c r="E25" s="35">
        <v>0.15577896844471389</v>
      </c>
    </row>
    <row r="26" spans="1:5">
      <c r="A26" s="14" t="s">
        <v>210</v>
      </c>
      <c r="B26" s="9"/>
      <c r="C26" s="35">
        <v>0</v>
      </c>
      <c r="D26" s="9">
        <v>39438236</v>
      </c>
      <c r="E26" s="35">
        <v>0.80231965340075706</v>
      </c>
    </row>
    <row r="27" spans="1:5">
      <c r="A27" s="15" t="s">
        <v>199</v>
      </c>
      <c r="B27" s="9"/>
      <c r="C27" s="35">
        <v>0</v>
      </c>
      <c r="D27" s="9">
        <v>14402045</v>
      </c>
      <c r="E27" s="35">
        <v>0.29299088713455912</v>
      </c>
    </row>
    <row r="28" spans="1:5">
      <c r="A28" s="15" t="s">
        <v>198</v>
      </c>
      <c r="B28" s="9"/>
      <c r="C28" s="35">
        <v>0</v>
      </c>
      <c r="D28" s="9">
        <v>25036191</v>
      </c>
      <c r="E28" s="35">
        <v>0.50932876626619794</v>
      </c>
    </row>
    <row r="29" spans="1:5">
      <c r="A29" s="14" t="s">
        <v>180</v>
      </c>
      <c r="B29" s="9">
        <v>49155266.030000001</v>
      </c>
      <c r="C29" s="35">
        <v>1</v>
      </c>
      <c r="D29" s="9">
        <v>49155266.024999991</v>
      </c>
      <c r="E29" s="35">
        <v>1</v>
      </c>
    </row>
  </sheetData>
  <mergeCells count="2">
    <mergeCell ref="B2:C2"/>
    <mergeCell ref="D2:E2"/>
  </mergeCells>
  <phoneticPr fontId="5" type="noConversion"/>
  <conditionalFormatting sqref="H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{A1A3A84A-3A8B-4ED8-87BA-A38E92BC508A}</x14:id>
        </ext>
      </extLst>
    </cfRule>
  </conditionalFormatting>
  <conditionalFormatting pivot="1" sqref="C4:C29 E4:E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{D82CD119-6F50-430B-932B-180680CFB548}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A3A84A-3A8B-4ED8-87BA-A38E92BC50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H16</xm:sqref>
        </x14:conditionalFormatting>
        <x14:conditionalFormatting xmlns:xm="http://schemas.microsoft.com/office/excel/2006/main" pivot="1">
          <x14:cfRule type="dataBar" id="{D82CD119-6F50-430B-932B-180680CFB5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C4:C29 E4:E29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A8AFF-CB18-4FAA-AE90-4DB8B4C138F0}">
  <sheetPr>
    <tabColor theme="9" tint="0.79998168889431442"/>
  </sheetPr>
  <dimension ref="A1:D27"/>
  <sheetViews>
    <sheetView topLeftCell="A7" workbookViewId="0">
      <selection activeCell="G29" sqref="G29"/>
    </sheetView>
  </sheetViews>
  <sheetFormatPr defaultRowHeight="15"/>
  <cols>
    <col min="1" max="1" width="22.42578125" bestFit="1" customWidth="1"/>
    <col min="2" max="2" width="25.140625" customWidth="1"/>
    <col min="3" max="3" width="17.42578125" customWidth="1"/>
    <col min="4" max="4" width="17.28515625" customWidth="1"/>
    <col min="5" max="6" width="17.140625" customWidth="1"/>
    <col min="7" max="7" width="15.85546875" bestFit="1" customWidth="1"/>
    <col min="8" max="8" width="16.28515625" bestFit="1" customWidth="1"/>
    <col min="9" max="9" width="9" bestFit="1" customWidth="1"/>
    <col min="10" max="10" width="11.28515625" bestFit="1" customWidth="1"/>
    <col min="11" max="11" width="14.7109375" bestFit="1" customWidth="1"/>
    <col min="12" max="12" width="14.140625" bestFit="1" customWidth="1"/>
    <col min="13" max="13" width="16.28515625" bestFit="1" customWidth="1"/>
    <col min="14" max="14" width="12" bestFit="1" customWidth="1"/>
    <col min="15" max="16" width="11.7109375" bestFit="1" customWidth="1"/>
  </cols>
  <sheetData>
    <row r="1" spans="1:4">
      <c r="A1" s="12" t="s">
        <v>56</v>
      </c>
      <c r="B1" t="s">
        <v>14</v>
      </c>
    </row>
    <row r="3" spans="1:4">
      <c r="A3" s="5"/>
      <c r="B3" s="5"/>
      <c r="C3" s="13" t="s">
        <v>138</v>
      </c>
      <c r="D3" s="5"/>
    </row>
    <row r="4" spans="1:4">
      <c r="A4" s="13" t="s">
        <v>50</v>
      </c>
      <c r="B4" s="13" t="s">
        <v>222</v>
      </c>
      <c r="C4" s="17" t="s">
        <v>122</v>
      </c>
      <c r="D4" s="17" t="s">
        <v>183</v>
      </c>
    </row>
    <row r="5" spans="1:4">
      <c r="A5" s="17" t="s">
        <v>100</v>
      </c>
      <c r="B5" s="17" t="s">
        <v>73</v>
      </c>
      <c r="C5" s="8">
        <v>2759122.91</v>
      </c>
      <c r="D5" s="16">
        <v>0.26314993919928742</v>
      </c>
    </row>
    <row r="6" spans="1:4">
      <c r="A6" s="17" t="s">
        <v>58</v>
      </c>
      <c r="B6" s="17" t="s">
        <v>61</v>
      </c>
      <c r="C6" s="8">
        <v>1982899.24</v>
      </c>
      <c r="D6" s="16">
        <v>0.18911800288168867</v>
      </c>
    </row>
    <row r="7" spans="1:4">
      <c r="A7" s="17" t="s">
        <v>99</v>
      </c>
      <c r="B7" s="17" t="s">
        <v>77</v>
      </c>
      <c r="C7" s="8">
        <v>1597158.42</v>
      </c>
      <c r="D7" s="16">
        <v>0.15232816906827465</v>
      </c>
    </row>
    <row r="8" spans="1:4">
      <c r="A8" s="17" t="s">
        <v>109</v>
      </c>
      <c r="B8" s="17" t="s">
        <v>67</v>
      </c>
      <c r="C8" s="8">
        <v>1012107.86</v>
      </c>
      <c r="D8" s="16">
        <v>9.6529270536237513E-2</v>
      </c>
    </row>
    <row r="9" spans="1:4">
      <c r="A9" s="17" t="s">
        <v>105</v>
      </c>
      <c r="B9" s="17" t="s">
        <v>65</v>
      </c>
      <c r="C9" s="8">
        <v>838646.21</v>
      </c>
      <c r="D9" s="16">
        <v>7.9985454207697051E-2</v>
      </c>
    </row>
    <row r="10" spans="1:4">
      <c r="A10" s="17" t="s">
        <v>120</v>
      </c>
      <c r="B10" s="17" t="s">
        <v>75</v>
      </c>
      <c r="C10" s="8">
        <v>630993.46</v>
      </c>
      <c r="D10" s="16">
        <v>6.0180679168855146E-2</v>
      </c>
    </row>
    <row r="11" spans="1:4">
      <c r="A11" s="17" t="s">
        <v>97</v>
      </c>
      <c r="B11" s="17" t="s">
        <v>101</v>
      </c>
      <c r="C11" s="8">
        <v>612335.77</v>
      </c>
      <c r="D11" s="16">
        <v>5.8401211508569167E-2</v>
      </c>
    </row>
    <row r="12" spans="1:4">
      <c r="A12" s="33" t="s">
        <v>114</v>
      </c>
      <c r="B12" s="17" t="s">
        <v>81</v>
      </c>
      <c r="C12" s="8">
        <v>12977.6</v>
      </c>
      <c r="D12" s="16">
        <v>1.2377319758302007E-3</v>
      </c>
    </row>
    <row r="13" spans="1:4">
      <c r="A13" s="34"/>
      <c r="B13" s="17" t="s">
        <v>79</v>
      </c>
      <c r="C13" s="8">
        <v>435221.41</v>
      </c>
      <c r="D13" s="16">
        <v>4.1509019828235245E-2</v>
      </c>
    </row>
    <row r="14" spans="1:4">
      <c r="A14" s="17" t="s">
        <v>111</v>
      </c>
      <c r="B14" s="17" t="s">
        <v>69</v>
      </c>
      <c r="C14" s="8">
        <v>174191.78</v>
      </c>
      <c r="D14" s="16">
        <v>1.661345210460945E-2</v>
      </c>
    </row>
    <row r="15" spans="1:4">
      <c r="A15" s="17" t="s">
        <v>113</v>
      </c>
      <c r="B15" s="17" t="s">
        <v>79</v>
      </c>
      <c r="C15" s="8">
        <v>143995.32</v>
      </c>
      <c r="D15" s="16">
        <v>1.3733480145319782E-2</v>
      </c>
    </row>
    <row r="16" spans="1:4">
      <c r="A16" s="17" t="s">
        <v>106</v>
      </c>
      <c r="B16" s="17" t="s">
        <v>63</v>
      </c>
      <c r="C16" s="8">
        <v>125030.24</v>
      </c>
      <c r="D16" s="16">
        <v>1.1924695320685194E-2</v>
      </c>
    </row>
    <row r="17" spans="1:4">
      <c r="A17" s="17" t="s">
        <v>115</v>
      </c>
      <c r="B17" s="17" t="s">
        <v>84</v>
      </c>
      <c r="C17" s="8">
        <v>30900.25</v>
      </c>
      <c r="D17" s="16">
        <v>2.9470955713034115E-3</v>
      </c>
    </row>
    <row r="18" spans="1:4">
      <c r="A18" s="17" t="s">
        <v>98</v>
      </c>
      <c r="B18" s="17" t="s">
        <v>102</v>
      </c>
      <c r="C18" s="8">
        <v>30640.9</v>
      </c>
      <c r="D18" s="16">
        <v>2.9223601974337006E-3</v>
      </c>
    </row>
    <row r="19" spans="1:4">
      <c r="A19" s="17" t="s">
        <v>108</v>
      </c>
      <c r="B19" s="17" t="s">
        <v>65</v>
      </c>
      <c r="C19" s="8">
        <v>25540.15</v>
      </c>
      <c r="D19" s="16">
        <v>2.4358787697648021E-3</v>
      </c>
    </row>
    <row r="20" spans="1:4">
      <c r="A20" s="17" t="s">
        <v>112</v>
      </c>
      <c r="B20" s="17" t="s">
        <v>71</v>
      </c>
      <c r="C20" s="8">
        <v>21355.13</v>
      </c>
      <c r="D20" s="16">
        <v>2.0367346234288924E-3</v>
      </c>
    </row>
    <row r="21" spans="1:4">
      <c r="A21" s="17" t="s">
        <v>152</v>
      </c>
      <c r="B21" s="17" t="s">
        <v>71</v>
      </c>
      <c r="C21" s="8">
        <v>20812</v>
      </c>
      <c r="D21" s="16">
        <v>1.9849338769093003E-3</v>
      </c>
    </row>
    <row r="22" spans="1:4">
      <c r="A22" s="17" t="s">
        <v>121</v>
      </c>
      <c r="B22" s="17" t="s">
        <v>75</v>
      </c>
      <c r="C22" s="8">
        <v>20124.45</v>
      </c>
      <c r="D22" s="16">
        <v>1.9193591466061582E-3</v>
      </c>
    </row>
    <row r="23" spans="1:4">
      <c r="A23" s="17" t="s">
        <v>116</v>
      </c>
      <c r="B23" s="17" t="s">
        <v>69</v>
      </c>
      <c r="C23" s="8">
        <v>6917.42</v>
      </c>
      <c r="D23" s="16">
        <v>6.5974540163415008E-4</v>
      </c>
    </row>
    <row r="24" spans="1:4">
      <c r="A24" s="17" t="s">
        <v>107</v>
      </c>
      <c r="B24" s="17" t="s">
        <v>65</v>
      </c>
      <c r="C24" s="8">
        <v>2000</v>
      </c>
      <c r="D24" s="16">
        <v>1.9074897913793005E-4</v>
      </c>
    </row>
    <row r="25" spans="1:4">
      <c r="A25" s="17" t="s">
        <v>110</v>
      </c>
      <c r="B25" s="17" t="s">
        <v>65</v>
      </c>
      <c r="C25" s="8">
        <v>1304</v>
      </c>
      <c r="D25" s="16">
        <v>1.2436833439793041E-4</v>
      </c>
    </row>
    <row r="26" spans="1:4">
      <c r="A26" s="17" t="s">
        <v>117</v>
      </c>
      <c r="B26" s="17" t="s">
        <v>71</v>
      </c>
      <c r="C26" s="8">
        <v>709.51</v>
      </c>
      <c r="D26" s="16">
        <v>6.7669154094076372E-5</v>
      </c>
    </row>
    <row r="27" spans="1:4">
      <c r="A27" s="33" t="s">
        <v>180</v>
      </c>
      <c r="B27" s="34"/>
      <c r="C27" s="8">
        <v>10484984.030000001</v>
      </c>
      <c r="D27" s="16">
        <v>1</v>
      </c>
    </row>
  </sheetData>
  <mergeCells count="2">
    <mergeCell ref="A12:A13"/>
    <mergeCell ref="A27:B27"/>
  </mergeCells>
  <phoneticPr fontId="5" type="noConversion"/>
  <conditionalFormatting pivot="1" sqref="D5:D2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{B0654ABE-9E59-49FA-A0F5-D093D83738F0}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B0654ABE-9E59-49FA-A0F5-D093D83738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D5:D27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6" tint="0.39997558519241921"/>
  </sheetPr>
  <dimension ref="A1:S16"/>
  <sheetViews>
    <sheetView zoomScale="120" zoomScaleNormal="120" workbookViewId="0">
      <pane ySplit="1" topLeftCell="A2" activePane="bottomLeft" state="frozen"/>
      <selection pane="bottomLeft" activeCell="E13" sqref="E13"/>
    </sheetView>
  </sheetViews>
  <sheetFormatPr defaultRowHeight="15"/>
  <cols>
    <col min="1" max="1" width="12.5703125" customWidth="1"/>
    <col min="2" max="2" width="11.5703125" customWidth="1"/>
    <col min="3" max="3" width="18.42578125" customWidth="1"/>
    <col min="5" max="5" width="12.28515625" customWidth="1"/>
    <col min="6" max="7" width="13.28515625" customWidth="1"/>
    <col min="8" max="8" width="10.7109375" customWidth="1"/>
    <col min="10" max="10" width="12.7109375" customWidth="1"/>
    <col min="11" max="11" width="13.28515625" customWidth="1"/>
    <col min="13" max="13" width="11.7109375" customWidth="1"/>
    <col min="14" max="14" width="20.5703125" customWidth="1"/>
    <col min="16" max="16" width="12.42578125" customWidth="1"/>
    <col min="17" max="17" width="11.28515625" customWidth="1"/>
    <col min="18" max="18" width="20.5703125" bestFit="1" customWidth="1"/>
    <col min="19" max="19" width="41.28515625" bestFit="1" customWidth="1"/>
  </cols>
  <sheetData>
    <row r="1" spans="1:19">
      <c r="A1" s="1" t="s">
        <v>0</v>
      </c>
      <c r="B1" s="1"/>
      <c r="C1" s="1"/>
      <c r="E1" s="5" t="s">
        <v>9</v>
      </c>
      <c r="F1" s="5" t="s">
        <v>10</v>
      </c>
      <c r="G1" s="5" t="s">
        <v>11</v>
      </c>
      <c r="H1" s="5" t="s">
        <v>12</v>
      </c>
      <c r="J1" s="5" t="s">
        <v>22</v>
      </c>
      <c r="K1" s="5" t="s">
        <v>23</v>
      </c>
      <c r="M1" s="5" t="s">
        <v>30</v>
      </c>
      <c r="N1" s="5" t="s">
        <v>36</v>
      </c>
      <c r="P1" s="5" t="s">
        <v>30</v>
      </c>
      <c r="Q1" s="5" t="s">
        <v>23</v>
      </c>
      <c r="R1" s="5" t="s">
        <v>59</v>
      </c>
      <c r="S1" s="5" t="s">
        <v>36</v>
      </c>
    </row>
    <row r="2" spans="1:19">
      <c r="A2" t="s">
        <v>1</v>
      </c>
      <c r="B2" s="3" t="s">
        <v>3</v>
      </c>
      <c r="C2" s="2" t="s">
        <v>2</v>
      </c>
      <c r="E2" t="s">
        <v>13</v>
      </c>
      <c r="F2" t="s">
        <v>14</v>
      </c>
      <c r="G2" t="s">
        <v>15</v>
      </c>
      <c r="H2" t="str">
        <f>IF(config_BS[[#This Row],[Lv1]]="Assets", "A","LC")</f>
        <v>A</v>
      </c>
      <c r="J2" t="s">
        <v>24</v>
      </c>
      <c r="K2" t="s">
        <v>149</v>
      </c>
      <c r="M2" t="s">
        <v>31</v>
      </c>
      <c r="N2" s="2" t="s">
        <v>32</v>
      </c>
      <c r="P2" t="s">
        <v>88</v>
      </c>
      <c r="Q2" t="s">
        <v>86</v>
      </c>
      <c r="R2" t="s">
        <v>61</v>
      </c>
      <c r="S2" s="2" t="s">
        <v>62</v>
      </c>
    </row>
    <row r="3" spans="1:19">
      <c r="A3" t="s">
        <v>4</v>
      </c>
      <c r="B3" s="4" t="s">
        <v>5</v>
      </c>
      <c r="C3" s="2" t="s">
        <v>6</v>
      </c>
      <c r="E3" t="s">
        <v>16</v>
      </c>
      <c r="F3" t="s">
        <v>14</v>
      </c>
      <c r="G3" t="s">
        <v>15</v>
      </c>
      <c r="H3" t="str">
        <f>IF(config_BS[[#This Row],[Lv1]]="Assets", "A","LC")</f>
        <v>A</v>
      </c>
      <c r="J3" t="s">
        <v>25</v>
      </c>
      <c r="K3" t="s">
        <v>28</v>
      </c>
      <c r="M3" t="s">
        <v>33</v>
      </c>
      <c r="N3" s="2" t="s">
        <v>151</v>
      </c>
      <c r="P3" t="s">
        <v>118</v>
      </c>
      <c r="Q3" t="s">
        <v>87</v>
      </c>
      <c r="R3" t="s">
        <v>63</v>
      </c>
      <c r="S3" s="2" t="s">
        <v>64</v>
      </c>
    </row>
    <row r="4" spans="1:19">
      <c r="A4" t="s">
        <v>7</v>
      </c>
      <c r="B4" s="7">
        <v>46023</v>
      </c>
      <c r="C4" s="2" t="s">
        <v>8</v>
      </c>
      <c r="E4" t="s">
        <v>125</v>
      </c>
      <c r="F4" t="s">
        <v>124</v>
      </c>
      <c r="G4" t="s">
        <v>15</v>
      </c>
      <c r="H4" t="str">
        <f>IF(config_BS[[#This Row],[Lv1]]="Assets", "A","LC")</f>
        <v>A</v>
      </c>
      <c r="J4" t="s">
        <v>26</v>
      </c>
      <c r="K4" t="s">
        <v>28</v>
      </c>
      <c r="M4" t="s">
        <v>34</v>
      </c>
      <c r="N4" s="2" t="s">
        <v>35</v>
      </c>
      <c r="P4" t="s">
        <v>89</v>
      </c>
      <c r="Q4" t="s">
        <v>86</v>
      </c>
      <c r="R4" t="s">
        <v>65</v>
      </c>
      <c r="S4" s="2" t="s">
        <v>66</v>
      </c>
    </row>
    <row r="5" spans="1:19">
      <c r="E5" t="s">
        <v>128</v>
      </c>
      <c r="F5" t="s">
        <v>146</v>
      </c>
      <c r="G5" t="s">
        <v>15</v>
      </c>
      <c r="H5" t="str">
        <f>IF(config_BS[[#This Row],[Lv1]]="Assets", "A","LC")</f>
        <v>A</v>
      </c>
      <c r="J5" s="20" t="s">
        <v>150</v>
      </c>
      <c r="K5" s="20" t="s">
        <v>29</v>
      </c>
      <c r="M5" t="s">
        <v>37</v>
      </c>
      <c r="N5" s="2" t="s">
        <v>38</v>
      </c>
      <c r="P5" t="s">
        <v>90</v>
      </c>
      <c r="Q5" t="s">
        <v>86</v>
      </c>
      <c r="R5" t="s">
        <v>67</v>
      </c>
      <c r="S5" s="2" t="s">
        <v>68</v>
      </c>
    </row>
    <row r="6" spans="1:19">
      <c r="E6" t="s">
        <v>129</v>
      </c>
      <c r="F6" t="s">
        <v>132</v>
      </c>
      <c r="G6" t="s">
        <v>15</v>
      </c>
      <c r="H6" t="str">
        <f>IF(config_BS[[#This Row],[Lv1]]="Assets", "A","LC")</f>
        <v>A</v>
      </c>
      <c r="J6" s="20" t="s">
        <v>182</v>
      </c>
      <c r="K6" s="20" t="s">
        <v>29</v>
      </c>
      <c r="M6" t="s">
        <v>39</v>
      </c>
      <c r="N6" s="2" t="s">
        <v>40</v>
      </c>
      <c r="P6" t="s">
        <v>91</v>
      </c>
      <c r="Q6" t="s">
        <v>86</v>
      </c>
      <c r="R6" t="s">
        <v>69</v>
      </c>
      <c r="S6" s="2" t="s">
        <v>70</v>
      </c>
    </row>
    <row r="7" spans="1:19">
      <c r="E7" t="s">
        <v>139</v>
      </c>
      <c r="F7" t="s">
        <v>132</v>
      </c>
      <c r="G7" t="s">
        <v>15</v>
      </c>
      <c r="H7" t="str">
        <f>IF(config_BS[[#This Row],[Lv1]]="Assets", "A","LC")</f>
        <v>A</v>
      </c>
      <c r="J7" t="s">
        <v>27</v>
      </c>
      <c r="K7" t="s">
        <v>29</v>
      </c>
      <c r="M7" t="s">
        <v>41</v>
      </c>
      <c r="N7" s="2" t="s">
        <v>42</v>
      </c>
      <c r="P7" t="s">
        <v>119</v>
      </c>
      <c r="Q7" t="s">
        <v>87</v>
      </c>
      <c r="R7" t="s">
        <v>71</v>
      </c>
      <c r="S7" s="2" t="s">
        <v>72</v>
      </c>
    </row>
    <row r="8" spans="1:19">
      <c r="E8" t="s">
        <v>134</v>
      </c>
      <c r="F8" t="s">
        <v>133</v>
      </c>
      <c r="G8" t="s">
        <v>15</v>
      </c>
      <c r="H8" t="str">
        <f>IF(config_BS[[#This Row],[Lv1]]="Assets", "A","LC")</f>
        <v>A</v>
      </c>
      <c r="P8" t="s">
        <v>92</v>
      </c>
      <c r="Q8" t="s">
        <v>86</v>
      </c>
      <c r="R8" t="s">
        <v>73</v>
      </c>
      <c r="S8" s="2" t="s">
        <v>74</v>
      </c>
    </row>
    <row r="9" spans="1:19">
      <c r="E9" t="s">
        <v>193</v>
      </c>
      <c r="F9" t="s">
        <v>211</v>
      </c>
      <c r="G9" t="s">
        <v>15</v>
      </c>
      <c r="H9" t="str">
        <f>IF(config_BS[[#This Row],[Lv1]]="Assets", "A","LC")</f>
        <v>A</v>
      </c>
      <c r="P9" t="s">
        <v>123</v>
      </c>
      <c r="Q9" t="s">
        <v>86</v>
      </c>
      <c r="R9" t="s">
        <v>75</v>
      </c>
      <c r="S9" s="2" t="s">
        <v>76</v>
      </c>
    </row>
    <row r="10" spans="1:19">
      <c r="E10" t="s">
        <v>126</v>
      </c>
      <c r="F10" t="s">
        <v>124</v>
      </c>
      <c r="G10" t="s">
        <v>136</v>
      </c>
      <c r="H10" t="str">
        <f>IF(config_BS[[#This Row],[Lv1]]="Assets", "A","LC")</f>
        <v>LC</v>
      </c>
      <c r="P10" t="s">
        <v>93</v>
      </c>
      <c r="Q10" t="s">
        <v>60</v>
      </c>
      <c r="R10" t="s">
        <v>77</v>
      </c>
      <c r="S10" s="2" t="s">
        <v>78</v>
      </c>
    </row>
    <row r="11" spans="1:19">
      <c r="E11" t="s">
        <v>144</v>
      </c>
      <c r="F11" t="s">
        <v>145</v>
      </c>
      <c r="G11" t="s">
        <v>136</v>
      </c>
      <c r="H11" t="str">
        <f>IF(config_BS[[#This Row],[Lv1]]="Assets", "A","LC")</f>
        <v>LC</v>
      </c>
      <c r="P11" t="s">
        <v>94</v>
      </c>
      <c r="Q11" t="s">
        <v>60</v>
      </c>
      <c r="R11" t="s">
        <v>79</v>
      </c>
      <c r="S11" s="2" t="s">
        <v>80</v>
      </c>
    </row>
    <row r="12" spans="1:19">
      <c r="E12" t="s">
        <v>223</v>
      </c>
      <c r="F12" t="s">
        <v>124</v>
      </c>
      <c r="G12" t="s">
        <v>136</v>
      </c>
      <c r="H12" t="str">
        <f>IF(config_BS[[#This Row],[Lv1]]="Assets", "A","LC")</f>
        <v>LC</v>
      </c>
      <c r="M12" t="s">
        <v>140</v>
      </c>
      <c r="P12" t="s">
        <v>95</v>
      </c>
      <c r="Q12" t="s">
        <v>60</v>
      </c>
      <c r="R12" t="s">
        <v>81</v>
      </c>
      <c r="S12" s="2" t="s">
        <v>82</v>
      </c>
    </row>
    <row r="13" spans="1:19">
      <c r="E13" t="s">
        <v>148</v>
      </c>
      <c r="F13" t="s">
        <v>124</v>
      </c>
      <c r="G13" t="s">
        <v>136</v>
      </c>
      <c r="H13" t="str">
        <f>IF(config_BS[[#This Row],[Lv1]]="Assets", "A","LC")</f>
        <v>LC</v>
      </c>
      <c r="P13" t="s">
        <v>96</v>
      </c>
      <c r="Q13" t="s">
        <v>60</v>
      </c>
      <c r="R13" t="s">
        <v>84</v>
      </c>
      <c r="S13" s="2" t="s">
        <v>85</v>
      </c>
    </row>
    <row r="14" spans="1:19">
      <c r="E14" t="s">
        <v>20</v>
      </c>
      <c r="F14" t="s">
        <v>21</v>
      </c>
      <c r="G14" t="s">
        <v>19</v>
      </c>
      <c r="H14" t="str">
        <f>IF(config_BS[[#This Row],[Lv1]]="Assets", "A","LC")</f>
        <v>LC</v>
      </c>
      <c r="P14" t="s">
        <v>103</v>
      </c>
      <c r="Q14" t="s">
        <v>60</v>
      </c>
      <c r="R14" s="19" t="s">
        <v>101</v>
      </c>
      <c r="S14" s="2" t="s">
        <v>83</v>
      </c>
    </row>
    <row r="15" spans="1:19">
      <c r="E15" t="s">
        <v>181</v>
      </c>
      <c r="F15" t="s">
        <v>17</v>
      </c>
      <c r="G15" t="s">
        <v>19</v>
      </c>
      <c r="H15" t="str">
        <f>IF(config_BS[[#This Row],[Lv1]]="Assets", "A","LC")</f>
        <v>LC</v>
      </c>
      <c r="P15" t="s">
        <v>104</v>
      </c>
      <c r="Q15" t="s">
        <v>60</v>
      </c>
      <c r="R15" t="s">
        <v>102</v>
      </c>
      <c r="S15" s="2" t="s">
        <v>142</v>
      </c>
    </row>
    <row r="16" spans="1:19">
      <c r="E16" t="s">
        <v>18</v>
      </c>
      <c r="F16" t="s">
        <v>17</v>
      </c>
      <c r="G16" t="s">
        <v>19</v>
      </c>
      <c r="H16" t="str">
        <f>IF(config_BS[[#This Row],[Lv1]]="Assets", "A","LC")</f>
        <v>LC</v>
      </c>
      <c r="P16" t="s">
        <v>127</v>
      </c>
      <c r="S16" s="2"/>
    </row>
  </sheetData>
  <phoneticPr fontId="5" type="noConversion"/>
  <dataValidations count="1">
    <dataValidation type="list" allowBlank="1" showInputMessage="1" showErrorMessage="1" sqref="G2:G16" xr:uid="{F683D44A-802D-4F34-82A2-33DE8400CFEA}">
      <formula1>"Assets,Liability,Equity"</formula1>
    </dataValidation>
  </dataValidations>
  <pageMargins left="0.7" right="0.7" top="0.75" bottom="0.75" header="0.3" footer="0.3"/>
  <legacyDrawing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A532F-8FA5-4E8F-8D59-6A27F81FADE1}">
  <sheetPr>
    <tabColor theme="0" tint="-0.249977111117893"/>
  </sheetPr>
  <dimension ref="A1:C24"/>
  <sheetViews>
    <sheetView workbookViewId="0">
      <selection activeCell="G19" sqref="G19"/>
    </sheetView>
  </sheetViews>
  <sheetFormatPr defaultRowHeight="15"/>
  <cols>
    <col min="1" max="1" width="12.85546875" customWidth="1"/>
    <col min="2" max="2" width="20.7109375" customWidth="1"/>
    <col min="3" max="3" width="10.140625" customWidth="1"/>
  </cols>
  <sheetData>
    <row r="1" spans="1:3">
      <c r="A1" s="5" t="s">
        <v>184</v>
      </c>
      <c r="B1" s="5" t="s">
        <v>59</v>
      </c>
      <c r="C1" s="5" t="s">
        <v>200</v>
      </c>
    </row>
    <row r="2" spans="1:3">
      <c r="A2" t="s">
        <v>13</v>
      </c>
      <c r="B2" t="s">
        <v>185</v>
      </c>
      <c r="C2" t="s">
        <v>201</v>
      </c>
    </row>
    <row r="3" spans="1:3">
      <c r="A3" t="s">
        <v>16</v>
      </c>
      <c r="B3" t="s">
        <v>186</v>
      </c>
      <c r="C3" t="s">
        <v>201</v>
      </c>
    </row>
    <row r="4" spans="1:3">
      <c r="A4" t="s">
        <v>125</v>
      </c>
      <c r="B4" t="s">
        <v>216</v>
      </c>
      <c r="C4" t="s">
        <v>201</v>
      </c>
    </row>
    <row r="5" spans="1:3">
      <c r="A5" t="s">
        <v>128</v>
      </c>
      <c r="B5" t="s">
        <v>187</v>
      </c>
      <c r="C5" t="s">
        <v>201</v>
      </c>
    </row>
    <row r="6" spans="1:3">
      <c r="A6" t="s">
        <v>129</v>
      </c>
      <c r="B6" t="s">
        <v>188</v>
      </c>
      <c r="C6" t="s">
        <v>201</v>
      </c>
    </row>
    <row r="7" spans="1:3">
      <c r="A7" t="s">
        <v>190</v>
      </c>
      <c r="B7" t="s">
        <v>189</v>
      </c>
      <c r="C7" t="s">
        <v>201</v>
      </c>
    </row>
    <row r="8" spans="1:3">
      <c r="A8" t="s">
        <v>134</v>
      </c>
      <c r="B8" t="s">
        <v>191</v>
      </c>
      <c r="C8" t="s">
        <v>201</v>
      </c>
    </row>
    <row r="9" spans="1:3">
      <c r="A9" t="s">
        <v>193</v>
      </c>
      <c r="B9" t="s">
        <v>192</v>
      </c>
      <c r="C9" t="s">
        <v>201</v>
      </c>
    </row>
    <row r="10" spans="1:3">
      <c r="A10" t="s">
        <v>126</v>
      </c>
      <c r="B10" t="s">
        <v>217</v>
      </c>
      <c r="C10" t="s">
        <v>201</v>
      </c>
    </row>
    <row r="11" spans="1:3">
      <c r="A11" t="s">
        <v>143</v>
      </c>
      <c r="B11" t="s">
        <v>194</v>
      </c>
      <c r="C11" t="s">
        <v>201</v>
      </c>
    </row>
    <row r="12" spans="1:3">
      <c r="A12" t="s">
        <v>223</v>
      </c>
      <c r="B12" t="s">
        <v>195</v>
      </c>
      <c r="C12" t="s">
        <v>201</v>
      </c>
    </row>
    <row r="13" spans="1:3">
      <c r="A13" t="s">
        <v>147</v>
      </c>
      <c r="B13" t="s">
        <v>196</v>
      </c>
      <c r="C13" t="s">
        <v>201</v>
      </c>
    </row>
    <row r="14" spans="1:3">
      <c r="A14" t="s">
        <v>20</v>
      </c>
      <c r="B14" t="s">
        <v>197</v>
      </c>
      <c r="C14" t="s">
        <v>201</v>
      </c>
    </row>
    <row r="15" spans="1:3">
      <c r="A15" t="s">
        <v>181</v>
      </c>
      <c r="B15" t="s">
        <v>199</v>
      </c>
      <c r="C15" t="s">
        <v>201</v>
      </c>
    </row>
    <row r="16" spans="1:3">
      <c r="A16" t="s">
        <v>18</v>
      </c>
      <c r="B16" t="s">
        <v>198</v>
      </c>
      <c r="C16" t="s">
        <v>201</v>
      </c>
    </row>
    <row r="17" spans="1:3">
      <c r="A17" t="s">
        <v>14</v>
      </c>
      <c r="B17" t="s">
        <v>204</v>
      </c>
      <c r="C17" t="s">
        <v>202</v>
      </c>
    </row>
    <row r="18" spans="1:3">
      <c r="A18" t="s">
        <v>124</v>
      </c>
      <c r="B18" t="s">
        <v>203</v>
      </c>
      <c r="C18" t="s">
        <v>202</v>
      </c>
    </row>
    <row r="19" spans="1:3">
      <c r="A19" t="s">
        <v>131</v>
      </c>
      <c r="B19" t="s">
        <v>205</v>
      </c>
      <c r="C19" t="s">
        <v>202</v>
      </c>
    </row>
    <row r="20" spans="1:3">
      <c r="A20" t="s">
        <v>132</v>
      </c>
      <c r="B20" t="s">
        <v>206</v>
      </c>
      <c r="C20" t="s">
        <v>202</v>
      </c>
    </row>
    <row r="21" spans="1:3">
      <c r="A21" t="s">
        <v>133</v>
      </c>
      <c r="B21" t="s">
        <v>207</v>
      </c>
      <c r="C21" t="s">
        <v>202</v>
      </c>
    </row>
    <row r="22" spans="1:3">
      <c r="A22" t="s">
        <v>211</v>
      </c>
      <c r="B22" t="s">
        <v>208</v>
      </c>
      <c r="C22" t="s">
        <v>202</v>
      </c>
    </row>
    <row r="23" spans="1:3">
      <c r="A23" t="s">
        <v>21</v>
      </c>
      <c r="B23" t="s">
        <v>209</v>
      </c>
      <c r="C23" t="s">
        <v>202</v>
      </c>
    </row>
    <row r="24" spans="1:3">
      <c r="A24" t="s">
        <v>17</v>
      </c>
      <c r="B24" t="s">
        <v>210</v>
      </c>
      <c r="C24" t="s">
        <v>202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src_trx</vt:lpstr>
      <vt:lpstr>src_jnl</vt:lpstr>
      <vt:lpstr>stmt</vt:lpstr>
      <vt:lpstr>debug</vt:lpstr>
      <vt:lpstr>config</vt:lpstr>
      <vt:lpstr>dict</vt:lpstr>
      <vt:lpstr>const_default_str</vt:lpstr>
      <vt:lpstr>const_func_ccy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 Wang</cp:lastModifiedBy>
  <dcterms:created xsi:type="dcterms:W3CDTF">2015-06-05T18:17:20Z</dcterms:created>
  <dcterms:modified xsi:type="dcterms:W3CDTF">2026-01-31T03:47:08Z</dcterms:modified>
</cp:coreProperties>
</file>