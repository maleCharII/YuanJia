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D:\__GitHub\YuanJia\"/>
    </mc:Choice>
  </mc:AlternateContent>
  <xr:revisionPtr revIDLastSave="0" documentId="13_ncr:1_{4F884737-DEA2-47F8-AAD8-A15842AAD3E8}" xr6:coauthVersionLast="47" xr6:coauthVersionMax="47" xr10:uidLastSave="{00000000-0000-0000-0000-000000000000}"/>
  <bookViews>
    <workbookView xWindow="-120" yWindow="-120" windowWidth="29040" windowHeight="15720" activeTab="2" xr2:uid="{00000000-000D-0000-FFFF-FFFF00000000}"/>
  </bookViews>
  <sheets>
    <sheet name="src_trx" sheetId="2" r:id="rId1"/>
    <sheet name="src_jnl" sheetId="3" r:id="rId2"/>
    <sheet name="debug" sheetId="4" r:id="rId3"/>
    <sheet name="stmt_BS" sheetId="5" r:id="rId4"/>
    <sheet name="stmt_IS" sheetId="7" r:id="rId5"/>
    <sheet name="config" sheetId="1" r:id="rId6"/>
    <sheet name="dict" sheetId="6" r:id="rId7"/>
  </sheets>
  <definedNames>
    <definedName name="const_date_prior">config!$B$6</definedName>
    <definedName name="const_date_start">config!$B$5</definedName>
    <definedName name="const_default_str">config!$B$2</definedName>
    <definedName name="const_func_ccy">config!$B$3</definedName>
    <definedName name="debug_date_end">debug!$B$5</definedName>
    <definedName name="debug_date_start">debug!$B$4</definedName>
    <definedName name="Slicer_NameBSLv2">#N/A</definedName>
    <definedName name="Slicer_NameVehicle">#N/A</definedName>
    <definedName name="stmt_BS_date_end">stmt_BS!$B$4</definedName>
  </definedNames>
  <calcPr calcId="191029"/>
  <pivotCaches>
    <pivotCache cacheId="77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5" i="3" l="1"/>
  <c r="T135" i="3" s="1"/>
  <c r="C135" i="3"/>
  <c r="D135" i="3"/>
  <c r="I135" i="3"/>
  <c r="K135" i="3"/>
  <c r="J135" i="3" s="1"/>
  <c r="L135" i="3"/>
  <c r="M135" i="3"/>
  <c r="N135" i="3"/>
  <c r="O135" i="3" s="1"/>
  <c r="P135" i="3"/>
  <c r="Q135" i="3"/>
  <c r="R135" i="3"/>
  <c r="S135" i="3"/>
  <c r="B130" i="3"/>
  <c r="C130" i="3"/>
  <c r="D130" i="3"/>
  <c r="I130" i="3"/>
  <c r="K130" i="3"/>
  <c r="J130" i="3" s="1"/>
  <c r="L130" i="3"/>
  <c r="M130" i="3"/>
  <c r="P130" i="3" s="1"/>
  <c r="N130" i="3"/>
  <c r="O130" i="3" s="1"/>
  <c r="Q130" i="3"/>
  <c r="R130" i="3"/>
  <c r="S130" i="3"/>
  <c r="T130" i="3"/>
  <c r="U130" i="3"/>
  <c r="B128" i="3"/>
  <c r="U128" i="3" s="1"/>
  <c r="C128" i="3"/>
  <c r="S128" i="3" s="1"/>
  <c r="D128" i="3"/>
  <c r="I128" i="3"/>
  <c r="K128" i="3"/>
  <c r="J128" i="3" s="1"/>
  <c r="L128" i="3"/>
  <c r="M128" i="3"/>
  <c r="P128" i="3" s="1"/>
  <c r="N128" i="3"/>
  <c r="O128" i="3" s="1"/>
  <c r="Q128" i="3"/>
  <c r="R128" i="3"/>
  <c r="B99" i="3"/>
  <c r="T99" i="3" s="1"/>
  <c r="C99" i="3"/>
  <c r="S99" i="3" s="1"/>
  <c r="D99" i="3"/>
  <c r="I99" i="3"/>
  <c r="K99" i="3"/>
  <c r="J99" i="3" s="1"/>
  <c r="L99" i="3"/>
  <c r="M99" i="3"/>
  <c r="P99" i="3" s="1"/>
  <c r="N99" i="3"/>
  <c r="O99" i="3"/>
  <c r="Q99" i="3"/>
  <c r="R99" i="3"/>
  <c r="B96" i="3"/>
  <c r="C96" i="3"/>
  <c r="D96" i="3"/>
  <c r="B71" i="3"/>
  <c r="T71" i="3" s="1"/>
  <c r="C71" i="3"/>
  <c r="S71" i="3" s="1"/>
  <c r="D71" i="3"/>
  <c r="I71" i="3"/>
  <c r="K71" i="3"/>
  <c r="J71" i="3" s="1"/>
  <c r="L71" i="3"/>
  <c r="M71" i="3"/>
  <c r="P71" i="3" s="1"/>
  <c r="N71" i="3"/>
  <c r="O71" i="3" s="1"/>
  <c r="Q71" i="3"/>
  <c r="R71" i="3"/>
  <c r="B70" i="3"/>
  <c r="C70" i="3"/>
  <c r="S70" i="3" s="1"/>
  <c r="D70" i="3"/>
  <c r="I70" i="3"/>
  <c r="K70" i="3"/>
  <c r="J70" i="3" s="1"/>
  <c r="L70" i="3"/>
  <c r="M70" i="3"/>
  <c r="P70" i="3" s="1"/>
  <c r="N70" i="3"/>
  <c r="O70" i="3" s="1"/>
  <c r="Q70" i="3"/>
  <c r="R70" i="3"/>
  <c r="B69" i="3"/>
  <c r="C69" i="3"/>
  <c r="S69" i="3" s="1"/>
  <c r="D69" i="3"/>
  <c r="I69" i="3"/>
  <c r="K69" i="3"/>
  <c r="J69" i="3" s="1"/>
  <c r="L69" i="3"/>
  <c r="M69" i="3"/>
  <c r="P69" i="3" s="1"/>
  <c r="N69" i="3"/>
  <c r="O69" i="3" s="1"/>
  <c r="Q69" i="3"/>
  <c r="R69" i="3"/>
  <c r="U135" i="3" l="1"/>
  <c r="T128" i="3"/>
  <c r="U99" i="3"/>
  <c r="T70" i="3"/>
  <c r="T69" i="3"/>
  <c r="B143" i="3" l="1"/>
  <c r="T143" i="3" s="1"/>
  <c r="C143" i="3"/>
  <c r="S143" i="3" s="1"/>
  <c r="D143" i="3"/>
  <c r="D80" i="3"/>
  <c r="D81" i="3"/>
  <c r="D82" i="3"/>
  <c r="D83" i="3"/>
  <c r="D84" i="3"/>
  <c r="D85" i="3"/>
  <c r="D86" i="3"/>
  <c r="D87" i="3"/>
  <c r="D88" i="3"/>
  <c r="D89" i="3"/>
  <c r="D90" i="3"/>
  <c r="D91" i="3"/>
  <c r="D92" i="3"/>
  <c r="D93" i="3"/>
  <c r="D94" i="3"/>
  <c r="D95" i="3"/>
  <c r="D97" i="3"/>
  <c r="D98"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9" i="3"/>
  <c r="D131" i="3"/>
  <c r="D132" i="3"/>
  <c r="D133" i="3"/>
  <c r="D134" i="3"/>
  <c r="D136" i="3"/>
  <c r="D137" i="3"/>
  <c r="D138" i="3"/>
  <c r="D139" i="3"/>
  <c r="D140" i="3"/>
  <c r="D141" i="3"/>
  <c r="D142" i="3"/>
  <c r="D144" i="3"/>
  <c r="D145" i="3"/>
  <c r="D146" i="3"/>
  <c r="B92" i="3"/>
  <c r="T92" i="3" s="1"/>
  <c r="B93" i="3"/>
  <c r="T93" i="3" s="1"/>
  <c r="B94" i="3"/>
  <c r="T94" i="3" s="1"/>
  <c r="B95" i="3"/>
  <c r="T95" i="3" s="1"/>
  <c r="T96" i="3"/>
  <c r="B97" i="3"/>
  <c r="T97" i="3" s="1"/>
  <c r="B98" i="3"/>
  <c r="T98" i="3" s="1"/>
  <c r="B100" i="3"/>
  <c r="T100" i="3" s="1"/>
  <c r="B101" i="3"/>
  <c r="T101" i="3" s="1"/>
  <c r="B102" i="3"/>
  <c r="T102" i="3" s="1"/>
  <c r="B103" i="3"/>
  <c r="T103" i="3" s="1"/>
  <c r="B104" i="3"/>
  <c r="T104" i="3" s="1"/>
  <c r="B105" i="3"/>
  <c r="T105" i="3" s="1"/>
  <c r="B106" i="3"/>
  <c r="T106" i="3" s="1"/>
  <c r="B107" i="3"/>
  <c r="T107" i="3" s="1"/>
  <c r="B108" i="3"/>
  <c r="T108" i="3" s="1"/>
  <c r="B109" i="3"/>
  <c r="T109" i="3" s="1"/>
  <c r="B110" i="3"/>
  <c r="T110" i="3" s="1"/>
  <c r="B111" i="3"/>
  <c r="T111" i="3" s="1"/>
  <c r="B112" i="3"/>
  <c r="T112" i="3" s="1"/>
  <c r="B113" i="3"/>
  <c r="T113" i="3" s="1"/>
  <c r="B114" i="3"/>
  <c r="T114" i="3" s="1"/>
  <c r="B115" i="3"/>
  <c r="T115" i="3" s="1"/>
  <c r="B116" i="3"/>
  <c r="T116" i="3" s="1"/>
  <c r="B117" i="3"/>
  <c r="T117" i="3" s="1"/>
  <c r="B118" i="3"/>
  <c r="T118" i="3" s="1"/>
  <c r="B119" i="3"/>
  <c r="T119" i="3" s="1"/>
  <c r="B120" i="3"/>
  <c r="T120" i="3" s="1"/>
  <c r="B121" i="3"/>
  <c r="T121" i="3" s="1"/>
  <c r="B122" i="3"/>
  <c r="T122" i="3" s="1"/>
  <c r="B123" i="3"/>
  <c r="T123" i="3" s="1"/>
  <c r="B124" i="3"/>
  <c r="T124" i="3" s="1"/>
  <c r="B125" i="3"/>
  <c r="T125" i="3" s="1"/>
  <c r="B126" i="3"/>
  <c r="T126" i="3" s="1"/>
  <c r="B127" i="3"/>
  <c r="T127" i="3" s="1"/>
  <c r="B129" i="3"/>
  <c r="T129" i="3" s="1"/>
  <c r="B131" i="3"/>
  <c r="T131" i="3" s="1"/>
  <c r="B132" i="3"/>
  <c r="T132" i="3" s="1"/>
  <c r="B133" i="3"/>
  <c r="T133" i="3" s="1"/>
  <c r="B134" i="3"/>
  <c r="T134" i="3" s="1"/>
  <c r="B136" i="3"/>
  <c r="T136" i="3" s="1"/>
  <c r="B137" i="3"/>
  <c r="T137" i="3" s="1"/>
  <c r="B138" i="3"/>
  <c r="T138" i="3" s="1"/>
  <c r="B139" i="3"/>
  <c r="T139" i="3" s="1"/>
  <c r="B140" i="3"/>
  <c r="T140" i="3" s="1"/>
  <c r="B141" i="3"/>
  <c r="T141" i="3" s="1"/>
  <c r="B142" i="3"/>
  <c r="T142" i="3" s="1"/>
  <c r="B144" i="3"/>
  <c r="T144" i="3" s="1"/>
  <c r="B145" i="3"/>
  <c r="T145" i="3" s="1"/>
  <c r="B146" i="3"/>
  <c r="T146" i="3" s="1"/>
  <c r="C92" i="3"/>
  <c r="S92" i="3" s="1"/>
  <c r="C93" i="3"/>
  <c r="S93" i="3" s="1"/>
  <c r="C94" i="3"/>
  <c r="S94" i="3" s="1"/>
  <c r="C95" i="3"/>
  <c r="S95" i="3" s="1"/>
  <c r="S96" i="3"/>
  <c r="C97" i="3"/>
  <c r="S97" i="3" s="1"/>
  <c r="C98" i="3"/>
  <c r="S98" i="3" s="1"/>
  <c r="C100" i="3"/>
  <c r="S100" i="3" s="1"/>
  <c r="C101" i="3"/>
  <c r="S101" i="3" s="1"/>
  <c r="C102" i="3"/>
  <c r="S102" i="3" s="1"/>
  <c r="C103" i="3"/>
  <c r="S103" i="3" s="1"/>
  <c r="C104" i="3"/>
  <c r="S104" i="3" s="1"/>
  <c r="C105" i="3"/>
  <c r="S105" i="3" s="1"/>
  <c r="C106" i="3"/>
  <c r="S106" i="3" s="1"/>
  <c r="C107" i="3"/>
  <c r="S107" i="3" s="1"/>
  <c r="C108" i="3"/>
  <c r="S108" i="3" s="1"/>
  <c r="C109" i="3"/>
  <c r="S109" i="3" s="1"/>
  <c r="C110" i="3"/>
  <c r="S110" i="3" s="1"/>
  <c r="C111" i="3"/>
  <c r="S111" i="3" s="1"/>
  <c r="C112" i="3"/>
  <c r="S112" i="3" s="1"/>
  <c r="C113" i="3"/>
  <c r="S113" i="3" s="1"/>
  <c r="C114" i="3"/>
  <c r="S114" i="3" s="1"/>
  <c r="C115" i="3"/>
  <c r="S115" i="3" s="1"/>
  <c r="C116" i="3"/>
  <c r="S116" i="3" s="1"/>
  <c r="C117" i="3"/>
  <c r="S117" i="3" s="1"/>
  <c r="C118" i="3"/>
  <c r="S118" i="3" s="1"/>
  <c r="C119" i="3"/>
  <c r="S119" i="3" s="1"/>
  <c r="C120" i="3"/>
  <c r="S120" i="3" s="1"/>
  <c r="C121" i="3"/>
  <c r="S121" i="3" s="1"/>
  <c r="C122" i="3"/>
  <c r="S122" i="3" s="1"/>
  <c r="C123" i="3"/>
  <c r="S123" i="3" s="1"/>
  <c r="C124" i="3"/>
  <c r="S124" i="3" s="1"/>
  <c r="C125" i="3"/>
  <c r="S125" i="3" s="1"/>
  <c r="C126" i="3"/>
  <c r="S126" i="3" s="1"/>
  <c r="C127" i="3"/>
  <c r="S127" i="3" s="1"/>
  <c r="C129" i="3"/>
  <c r="S129" i="3" s="1"/>
  <c r="C131" i="3"/>
  <c r="S131" i="3" s="1"/>
  <c r="C132" i="3"/>
  <c r="S132" i="3" s="1"/>
  <c r="C133" i="3"/>
  <c r="S133" i="3" s="1"/>
  <c r="C134" i="3"/>
  <c r="S134" i="3" s="1"/>
  <c r="C136" i="3"/>
  <c r="S136" i="3" s="1"/>
  <c r="C137" i="3"/>
  <c r="S137" i="3" s="1"/>
  <c r="C138" i="3"/>
  <c r="S138" i="3" s="1"/>
  <c r="C139" i="3"/>
  <c r="S139" i="3" s="1"/>
  <c r="C140" i="3"/>
  <c r="S140" i="3" s="1"/>
  <c r="C141" i="3"/>
  <c r="S141" i="3" s="1"/>
  <c r="C142" i="3"/>
  <c r="S142" i="3" s="1"/>
  <c r="C144" i="3"/>
  <c r="S144" i="3" s="1"/>
  <c r="C145" i="3"/>
  <c r="S145" i="3" s="1"/>
  <c r="C146" i="3"/>
  <c r="S146" i="3" s="1"/>
  <c r="I92" i="3"/>
  <c r="I93" i="3"/>
  <c r="I94" i="3"/>
  <c r="I95" i="3"/>
  <c r="I96" i="3"/>
  <c r="I97" i="3"/>
  <c r="I98"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9" i="3"/>
  <c r="I131" i="3"/>
  <c r="I132" i="3"/>
  <c r="I133" i="3"/>
  <c r="I134" i="3"/>
  <c r="I136" i="3"/>
  <c r="I137" i="3"/>
  <c r="I138" i="3"/>
  <c r="I139" i="3"/>
  <c r="I140" i="3"/>
  <c r="I141" i="3"/>
  <c r="I142" i="3"/>
  <c r="I143" i="3"/>
  <c r="I144" i="3"/>
  <c r="I145" i="3"/>
  <c r="I146" i="3"/>
  <c r="K92" i="3"/>
  <c r="J92" i="3" s="1"/>
  <c r="K93" i="3"/>
  <c r="J93" i="3" s="1"/>
  <c r="K94" i="3"/>
  <c r="J94" i="3" s="1"/>
  <c r="K95" i="3"/>
  <c r="J95" i="3" s="1"/>
  <c r="K96" i="3"/>
  <c r="J96" i="3" s="1"/>
  <c r="K97" i="3"/>
  <c r="J97" i="3" s="1"/>
  <c r="K98" i="3"/>
  <c r="J98" i="3" s="1"/>
  <c r="K100" i="3"/>
  <c r="J100" i="3" s="1"/>
  <c r="K101" i="3"/>
  <c r="J101" i="3" s="1"/>
  <c r="K102" i="3"/>
  <c r="J102" i="3" s="1"/>
  <c r="K103" i="3"/>
  <c r="J103" i="3" s="1"/>
  <c r="K104" i="3"/>
  <c r="J104" i="3" s="1"/>
  <c r="K105" i="3"/>
  <c r="J105" i="3" s="1"/>
  <c r="K106" i="3"/>
  <c r="J106" i="3" s="1"/>
  <c r="K107" i="3"/>
  <c r="J107" i="3" s="1"/>
  <c r="K108" i="3"/>
  <c r="J108" i="3" s="1"/>
  <c r="K109" i="3"/>
  <c r="J109" i="3" s="1"/>
  <c r="K110" i="3"/>
  <c r="J110" i="3" s="1"/>
  <c r="K111" i="3"/>
  <c r="J111" i="3" s="1"/>
  <c r="K112" i="3"/>
  <c r="J112" i="3" s="1"/>
  <c r="K113" i="3"/>
  <c r="J113" i="3" s="1"/>
  <c r="K114" i="3"/>
  <c r="J114" i="3" s="1"/>
  <c r="K115" i="3"/>
  <c r="J115" i="3" s="1"/>
  <c r="K116" i="3"/>
  <c r="J116" i="3" s="1"/>
  <c r="K117" i="3"/>
  <c r="J117" i="3" s="1"/>
  <c r="K118" i="3"/>
  <c r="J118" i="3" s="1"/>
  <c r="K119" i="3"/>
  <c r="J119" i="3" s="1"/>
  <c r="K120" i="3"/>
  <c r="J120" i="3" s="1"/>
  <c r="K121" i="3"/>
  <c r="J121" i="3" s="1"/>
  <c r="K122" i="3"/>
  <c r="J122" i="3" s="1"/>
  <c r="K123" i="3"/>
  <c r="J123" i="3" s="1"/>
  <c r="K124" i="3"/>
  <c r="J124" i="3" s="1"/>
  <c r="K125" i="3"/>
  <c r="J125" i="3" s="1"/>
  <c r="K126" i="3"/>
  <c r="J126" i="3" s="1"/>
  <c r="K127" i="3"/>
  <c r="J127" i="3" s="1"/>
  <c r="K129" i="3"/>
  <c r="J129" i="3" s="1"/>
  <c r="K131" i="3"/>
  <c r="J131" i="3" s="1"/>
  <c r="K132" i="3"/>
  <c r="J132" i="3" s="1"/>
  <c r="K133" i="3"/>
  <c r="J133" i="3" s="1"/>
  <c r="K134" i="3"/>
  <c r="J134" i="3" s="1"/>
  <c r="K136" i="3"/>
  <c r="J136" i="3" s="1"/>
  <c r="K137" i="3"/>
  <c r="J137" i="3" s="1"/>
  <c r="K138" i="3"/>
  <c r="J138" i="3" s="1"/>
  <c r="K139" i="3"/>
  <c r="J139" i="3" s="1"/>
  <c r="K140" i="3"/>
  <c r="J140" i="3" s="1"/>
  <c r="K141" i="3"/>
  <c r="J141" i="3" s="1"/>
  <c r="K142" i="3"/>
  <c r="J142" i="3" s="1"/>
  <c r="K143" i="3"/>
  <c r="J143" i="3" s="1"/>
  <c r="K144" i="3"/>
  <c r="J144" i="3" s="1"/>
  <c r="K145" i="3"/>
  <c r="J145" i="3" s="1"/>
  <c r="K146" i="3"/>
  <c r="J146" i="3" s="1"/>
  <c r="L92" i="3"/>
  <c r="L93" i="3"/>
  <c r="L94" i="3"/>
  <c r="L95" i="3"/>
  <c r="L96" i="3"/>
  <c r="L97" i="3"/>
  <c r="L98"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9" i="3"/>
  <c r="L131" i="3"/>
  <c r="L132" i="3"/>
  <c r="L133" i="3"/>
  <c r="L134" i="3"/>
  <c r="L136" i="3"/>
  <c r="L137" i="3"/>
  <c r="L138" i="3"/>
  <c r="L139" i="3"/>
  <c r="L140" i="3"/>
  <c r="L141" i="3"/>
  <c r="L142" i="3"/>
  <c r="L143" i="3"/>
  <c r="L144" i="3"/>
  <c r="L145" i="3"/>
  <c r="L146" i="3"/>
  <c r="M92" i="3"/>
  <c r="P92" i="3" s="1"/>
  <c r="M93" i="3"/>
  <c r="P93" i="3" s="1"/>
  <c r="M94" i="3"/>
  <c r="P94" i="3" s="1"/>
  <c r="M95" i="3"/>
  <c r="P95" i="3" s="1"/>
  <c r="M96" i="3"/>
  <c r="P96" i="3" s="1"/>
  <c r="M97" i="3"/>
  <c r="P97" i="3" s="1"/>
  <c r="M98" i="3"/>
  <c r="P98" i="3" s="1"/>
  <c r="M100" i="3"/>
  <c r="P100" i="3" s="1"/>
  <c r="M101" i="3"/>
  <c r="P101" i="3" s="1"/>
  <c r="M102" i="3"/>
  <c r="P102" i="3" s="1"/>
  <c r="M103" i="3"/>
  <c r="P103" i="3" s="1"/>
  <c r="M104" i="3"/>
  <c r="P104" i="3" s="1"/>
  <c r="M105" i="3"/>
  <c r="P105" i="3" s="1"/>
  <c r="M106" i="3"/>
  <c r="P106" i="3" s="1"/>
  <c r="M107" i="3"/>
  <c r="P107" i="3" s="1"/>
  <c r="M108" i="3"/>
  <c r="P108" i="3" s="1"/>
  <c r="M109" i="3"/>
  <c r="P109" i="3" s="1"/>
  <c r="M110" i="3"/>
  <c r="P110" i="3" s="1"/>
  <c r="M111" i="3"/>
  <c r="P111" i="3" s="1"/>
  <c r="M112" i="3"/>
  <c r="P112" i="3" s="1"/>
  <c r="M113" i="3"/>
  <c r="P113" i="3" s="1"/>
  <c r="M114" i="3"/>
  <c r="P114" i="3" s="1"/>
  <c r="M115" i="3"/>
  <c r="P115" i="3" s="1"/>
  <c r="M116" i="3"/>
  <c r="P116" i="3" s="1"/>
  <c r="M117" i="3"/>
  <c r="P117" i="3" s="1"/>
  <c r="M118" i="3"/>
  <c r="P118" i="3" s="1"/>
  <c r="M119" i="3"/>
  <c r="P119" i="3" s="1"/>
  <c r="M120" i="3"/>
  <c r="P120" i="3" s="1"/>
  <c r="M121" i="3"/>
  <c r="P121" i="3" s="1"/>
  <c r="M122" i="3"/>
  <c r="P122" i="3" s="1"/>
  <c r="M123" i="3"/>
  <c r="P123" i="3" s="1"/>
  <c r="M124" i="3"/>
  <c r="P124" i="3" s="1"/>
  <c r="M125" i="3"/>
  <c r="P125" i="3" s="1"/>
  <c r="M126" i="3"/>
  <c r="P126" i="3" s="1"/>
  <c r="M127" i="3"/>
  <c r="P127" i="3" s="1"/>
  <c r="M129" i="3"/>
  <c r="P129" i="3" s="1"/>
  <c r="M131" i="3"/>
  <c r="P131" i="3" s="1"/>
  <c r="M132" i="3"/>
  <c r="P132" i="3" s="1"/>
  <c r="M133" i="3"/>
  <c r="P133" i="3" s="1"/>
  <c r="M134" i="3"/>
  <c r="P134" i="3" s="1"/>
  <c r="M136" i="3"/>
  <c r="P136" i="3" s="1"/>
  <c r="M137" i="3"/>
  <c r="P137" i="3" s="1"/>
  <c r="M138" i="3"/>
  <c r="P138" i="3" s="1"/>
  <c r="M139" i="3"/>
  <c r="P139" i="3" s="1"/>
  <c r="M140" i="3"/>
  <c r="P140" i="3" s="1"/>
  <c r="M141" i="3"/>
  <c r="P141" i="3" s="1"/>
  <c r="M142" i="3"/>
  <c r="P142" i="3" s="1"/>
  <c r="M143" i="3"/>
  <c r="P143" i="3" s="1"/>
  <c r="M144" i="3"/>
  <c r="P144" i="3" s="1"/>
  <c r="M145" i="3"/>
  <c r="P145" i="3" s="1"/>
  <c r="M146" i="3"/>
  <c r="P146" i="3" s="1"/>
  <c r="N92" i="3"/>
  <c r="O92" i="3" s="1"/>
  <c r="N93" i="3"/>
  <c r="O93" i="3" s="1"/>
  <c r="N94" i="3"/>
  <c r="O94" i="3" s="1"/>
  <c r="N95" i="3"/>
  <c r="O95" i="3" s="1"/>
  <c r="N96" i="3"/>
  <c r="O96" i="3" s="1"/>
  <c r="N97" i="3"/>
  <c r="O97" i="3" s="1"/>
  <c r="N98" i="3"/>
  <c r="O98" i="3" s="1"/>
  <c r="N100" i="3"/>
  <c r="O100" i="3" s="1"/>
  <c r="N101" i="3"/>
  <c r="O101" i="3" s="1"/>
  <c r="N102" i="3"/>
  <c r="O102" i="3" s="1"/>
  <c r="N103" i="3"/>
  <c r="O103" i="3" s="1"/>
  <c r="N104" i="3"/>
  <c r="O104" i="3" s="1"/>
  <c r="N105" i="3"/>
  <c r="O105" i="3" s="1"/>
  <c r="N106" i="3"/>
  <c r="O106" i="3" s="1"/>
  <c r="N107" i="3"/>
  <c r="O107" i="3" s="1"/>
  <c r="N108" i="3"/>
  <c r="O108" i="3" s="1"/>
  <c r="N109" i="3"/>
  <c r="O109" i="3" s="1"/>
  <c r="N110" i="3"/>
  <c r="O110" i="3" s="1"/>
  <c r="N111" i="3"/>
  <c r="O111" i="3" s="1"/>
  <c r="N112" i="3"/>
  <c r="O112" i="3" s="1"/>
  <c r="N113" i="3"/>
  <c r="O113" i="3" s="1"/>
  <c r="N114" i="3"/>
  <c r="O114" i="3" s="1"/>
  <c r="N115" i="3"/>
  <c r="O115" i="3" s="1"/>
  <c r="N116" i="3"/>
  <c r="O116" i="3" s="1"/>
  <c r="N117" i="3"/>
  <c r="O117" i="3" s="1"/>
  <c r="N118" i="3"/>
  <c r="O118" i="3" s="1"/>
  <c r="N119" i="3"/>
  <c r="O119" i="3" s="1"/>
  <c r="N120" i="3"/>
  <c r="O120" i="3" s="1"/>
  <c r="N121" i="3"/>
  <c r="O121" i="3" s="1"/>
  <c r="N122" i="3"/>
  <c r="O122" i="3" s="1"/>
  <c r="N123" i="3"/>
  <c r="O123" i="3" s="1"/>
  <c r="N124" i="3"/>
  <c r="O124" i="3" s="1"/>
  <c r="N125" i="3"/>
  <c r="O125" i="3" s="1"/>
  <c r="N126" i="3"/>
  <c r="O126" i="3" s="1"/>
  <c r="N127" i="3"/>
  <c r="O127" i="3" s="1"/>
  <c r="N129" i="3"/>
  <c r="O129" i="3" s="1"/>
  <c r="N131" i="3"/>
  <c r="O131" i="3" s="1"/>
  <c r="N132" i="3"/>
  <c r="O132" i="3" s="1"/>
  <c r="N133" i="3"/>
  <c r="O133" i="3" s="1"/>
  <c r="N134" i="3"/>
  <c r="O134" i="3" s="1"/>
  <c r="N136" i="3"/>
  <c r="O136" i="3" s="1"/>
  <c r="N137" i="3"/>
  <c r="O137" i="3" s="1"/>
  <c r="N138" i="3"/>
  <c r="O138" i="3" s="1"/>
  <c r="N139" i="3"/>
  <c r="O139" i="3" s="1"/>
  <c r="N140" i="3"/>
  <c r="O140" i="3" s="1"/>
  <c r="N141" i="3"/>
  <c r="O141" i="3" s="1"/>
  <c r="N142" i="3"/>
  <c r="O142" i="3" s="1"/>
  <c r="N143" i="3"/>
  <c r="O143" i="3" s="1"/>
  <c r="N144" i="3"/>
  <c r="O144" i="3" s="1"/>
  <c r="N145" i="3"/>
  <c r="O145" i="3" s="1"/>
  <c r="N146" i="3"/>
  <c r="O146" i="3" s="1"/>
  <c r="Q92" i="3"/>
  <c r="Q93" i="3"/>
  <c r="Q94" i="3"/>
  <c r="Q95" i="3"/>
  <c r="Q96" i="3"/>
  <c r="Q97" i="3"/>
  <c r="Q98"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9" i="3"/>
  <c r="Q131" i="3"/>
  <c r="Q132" i="3"/>
  <c r="Q133" i="3"/>
  <c r="Q134" i="3"/>
  <c r="Q136" i="3"/>
  <c r="Q137" i="3"/>
  <c r="Q138" i="3"/>
  <c r="Q139" i="3"/>
  <c r="Q140" i="3"/>
  <c r="Q141" i="3"/>
  <c r="Q142" i="3"/>
  <c r="Q143" i="3"/>
  <c r="Q144" i="3"/>
  <c r="Q145" i="3"/>
  <c r="Q146" i="3"/>
  <c r="R92" i="3"/>
  <c r="R93" i="3"/>
  <c r="R94" i="3"/>
  <c r="R95" i="3"/>
  <c r="R96" i="3"/>
  <c r="R97" i="3"/>
  <c r="R98"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9" i="3"/>
  <c r="R131" i="3"/>
  <c r="R132" i="3"/>
  <c r="R133" i="3"/>
  <c r="R134" i="3"/>
  <c r="R136" i="3"/>
  <c r="R137" i="3"/>
  <c r="R138" i="3"/>
  <c r="R139" i="3"/>
  <c r="R140" i="3"/>
  <c r="R141" i="3"/>
  <c r="R142" i="3"/>
  <c r="R143" i="3"/>
  <c r="R144" i="3"/>
  <c r="R145" i="3"/>
  <c r="R146" i="3"/>
  <c r="B91" i="3"/>
  <c r="T91" i="3" s="1"/>
  <c r="C91" i="3"/>
  <c r="S91" i="3" s="1"/>
  <c r="I91" i="3"/>
  <c r="K91" i="3"/>
  <c r="J91" i="3" s="1"/>
  <c r="L91" i="3"/>
  <c r="M91" i="3"/>
  <c r="P91" i="3" s="1"/>
  <c r="N91" i="3"/>
  <c r="O91" i="3" s="1"/>
  <c r="Q91" i="3"/>
  <c r="R91" i="3"/>
  <c r="B6" i="1" l="1"/>
  <c r="B4" i="5" s="1"/>
  <c r="B90" i="3"/>
  <c r="T90" i="3" s="1"/>
  <c r="C90" i="3"/>
  <c r="S90" i="3" s="1"/>
  <c r="I90" i="3"/>
  <c r="L90" i="3"/>
  <c r="M90" i="3"/>
  <c r="P90" i="3" s="1"/>
  <c r="N90" i="3"/>
  <c r="O90" i="3" s="1"/>
  <c r="Q90" i="3"/>
  <c r="R90" i="3"/>
  <c r="B89" i="3"/>
  <c r="T89" i="3" s="1"/>
  <c r="C89" i="3"/>
  <c r="S89" i="3" s="1"/>
  <c r="I89" i="3"/>
  <c r="L89" i="3"/>
  <c r="M89" i="3"/>
  <c r="P89" i="3" s="1"/>
  <c r="N89" i="3"/>
  <c r="O89" i="3" s="1"/>
  <c r="Q89" i="3"/>
  <c r="R89" i="3"/>
  <c r="B88" i="3"/>
  <c r="T88" i="3" s="1"/>
  <c r="C88" i="3"/>
  <c r="S88" i="3" s="1"/>
  <c r="I88" i="3"/>
  <c r="L88" i="3"/>
  <c r="M88" i="3"/>
  <c r="P88" i="3" s="1"/>
  <c r="N88" i="3"/>
  <c r="O88" i="3" s="1"/>
  <c r="Q88" i="3"/>
  <c r="R88" i="3"/>
  <c r="F6" i="5"/>
  <c r="B87" i="3"/>
  <c r="T87" i="3" s="1"/>
  <c r="C87" i="3"/>
  <c r="S87" i="3" s="1"/>
  <c r="I87" i="3"/>
  <c r="L87" i="3"/>
  <c r="M87" i="3"/>
  <c r="P87" i="3" s="1"/>
  <c r="N87" i="3"/>
  <c r="O87" i="3" s="1"/>
  <c r="Q87" i="3"/>
  <c r="R87" i="3"/>
  <c r="B86" i="3"/>
  <c r="T86" i="3" s="1"/>
  <c r="C86" i="3"/>
  <c r="S86" i="3" s="1"/>
  <c r="I86" i="3"/>
  <c r="L86" i="3"/>
  <c r="M86" i="3"/>
  <c r="P86" i="3" s="1"/>
  <c r="N86" i="3"/>
  <c r="O86" i="3" s="1"/>
  <c r="Q86" i="3"/>
  <c r="R86" i="3"/>
  <c r="B85" i="3"/>
  <c r="T85" i="3" s="1"/>
  <c r="C85" i="3"/>
  <c r="S85" i="3" s="1"/>
  <c r="I85" i="3"/>
  <c r="L85" i="3"/>
  <c r="M85" i="3"/>
  <c r="P85" i="3" s="1"/>
  <c r="N85" i="3"/>
  <c r="O85" i="3" s="1"/>
  <c r="Q85" i="3"/>
  <c r="R85" i="3"/>
  <c r="B84" i="3"/>
  <c r="T84" i="3" s="1"/>
  <c r="C84" i="3"/>
  <c r="S84" i="3" s="1"/>
  <c r="I84" i="3"/>
  <c r="L84" i="3"/>
  <c r="M84" i="3"/>
  <c r="P84" i="3" s="1"/>
  <c r="N84" i="3"/>
  <c r="O84" i="3" s="1"/>
  <c r="Q84" i="3"/>
  <c r="R84" i="3"/>
  <c r="B50" i="3" l="1"/>
  <c r="C50" i="3"/>
  <c r="S50" i="3" s="1"/>
  <c r="D50" i="3"/>
  <c r="I50" i="3"/>
  <c r="L50" i="3"/>
  <c r="M50" i="3"/>
  <c r="P50" i="3" s="1"/>
  <c r="N50" i="3"/>
  <c r="O50" i="3" s="1"/>
  <c r="Q50" i="3"/>
  <c r="R50" i="3"/>
  <c r="H6" i="1"/>
  <c r="H4" i="1"/>
  <c r="H9" i="1"/>
  <c r="H8" i="1"/>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1" i="3"/>
  <c r="R52" i="3"/>
  <c r="R53" i="3"/>
  <c r="R54" i="3"/>
  <c r="R55" i="3"/>
  <c r="R56" i="3"/>
  <c r="R57" i="3"/>
  <c r="R58" i="3"/>
  <c r="R59" i="3"/>
  <c r="R60" i="3"/>
  <c r="R61" i="3"/>
  <c r="R62" i="3"/>
  <c r="R63" i="3"/>
  <c r="R64" i="3"/>
  <c r="R65" i="3"/>
  <c r="R66" i="3"/>
  <c r="R67" i="3"/>
  <c r="R68" i="3"/>
  <c r="R72" i="3"/>
  <c r="R73" i="3"/>
  <c r="R74" i="3"/>
  <c r="R75" i="3"/>
  <c r="R76" i="3"/>
  <c r="R77" i="3"/>
  <c r="R78" i="3"/>
  <c r="R79" i="3"/>
  <c r="R80" i="3"/>
  <c r="R81" i="3"/>
  <c r="R82" i="3"/>
  <c r="R83"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1" i="3"/>
  <c r="Q52" i="3"/>
  <c r="Q53" i="3"/>
  <c r="Q54" i="3"/>
  <c r="Q55" i="3"/>
  <c r="Q56" i="3"/>
  <c r="Q57" i="3"/>
  <c r="Q58" i="3"/>
  <c r="Q59" i="3"/>
  <c r="Q60" i="3"/>
  <c r="Q61" i="3"/>
  <c r="Q62" i="3"/>
  <c r="Q63" i="3"/>
  <c r="Q64" i="3"/>
  <c r="Q65" i="3"/>
  <c r="Q66" i="3"/>
  <c r="Q67" i="3"/>
  <c r="Q68" i="3"/>
  <c r="Q72" i="3"/>
  <c r="Q73" i="3"/>
  <c r="Q74" i="3"/>
  <c r="Q75" i="3"/>
  <c r="Q76" i="3"/>
  <c r="Q77" i="3"/>
  <c r="Q78" i="3"/>
  <c r="Q79" i="3"/>
  <c r="Q80" i="3"/>
  <c r="Q81" i="3"/>
  <c r="Q82" i="3"/>
  <c r="Q83" i="3"/>
  <c r="N33" i="3"/>
  <c r="T50" i="3" l="1"/>
  <c r="B79" i="3"/>
  <c r="C79" i="3"/>
  <c r="S79" i="3" s="1"/>
  <c r="D79" i="3"/>
  <c r="I79" i="3"/>
  <c r="L79" i="3"/>
  <c r="M79" i="3"/>
  <c r="P79" i="3" s="1"/>
  <c r="N79" i="3"/>
  <c r="O79" i="3" s="1"/>
  <c r="I56" i="3"/>
  <c r="B81" i="3"/>
  <c r="C81" i="3"/>
  <c r="S81" i="3" s="1"/>
  <c r="I81" i="3"/>
  <c r="L81" i="3"/>
  <c r="M81" i="3"/>
  <c r="P81" i="3" s="1"/>
  <c r="N81" i="3"/>
  <c r="O81" i="3" s="1"/>
  <c r="I67" i="3"/>
  <c r="I66" i="3"/>
  <c r="I65" i="3"/>
  <c r="I64" i="3"/>
  <c r="I63" i="3"/>
  <c r="I62" i="3"/>
  <c r="I61" i="3"/>
  <c r="B57" i="3"/>
  <c r="B58" i="3"/>
  <c r="B59" i="3"/>
  <c r="B60" i="3"/>
  <c r="B61" i="3"/>
  <c r="B62" i="3"/>
  <c r="B63" i="3"/>
  <c r="B64" i="3"/>
  <c r="B65" i="3"/>
  <c r="B66" i="3"/>
  <c r="B67" i="3"/>
  <c r="B68" i="3"/>
  <c r="B72" i="3"/>
  <c r="B73" i="3"/>
  <c r="B74" i="3"/>
  <c r="B75" i="3"/>
  <c r="B76" i="3"/>
  <c r="B77" i="3"/>
  <c r="B78" i="3"/>
  <c r="B80" i="3"/>
  <c r="C57" i="3"/>
  <c r="S57" i="3" s="1"/>
  <c r="C58" i="3"/>
  <c r="S58" i="3" s="1"/>
  <c r="C59" i="3"/>
  <c r="S59" i="3" s="1"/>
  <c r="C60" i="3"/>
  <c r="S60" i="3" s="1"/>
  <c r="C61" i="3"/>
  <c r="S61" i="3" s="1"/>
  <c r="C62" i="3"/>
  <c r="S62" i="3" s="1"/>
  <c r="C63" i="3"/>
  <c r="S63" i="3" s="1"/>
  <c r="C64" i="3"/>
  <c r="S64" i="3" s="1"/>
  <c r="C65" i="3"/>
  <c r="S65" i="3" s="1"/>
  <c r="C66" i="3"/>
  <c r="S66" i="3" s="1"/>
  <c r="C67" i="3"/>
  <c r="S67" i="3" s="1"/>
  <c r="C68" i="3"/>
  <c r="S68" i="3" s="1"/>
  <c r="C72" i="3"/>
  <c r="S72" i="3" s="1"/>
  <c r="C73" i="3"/>
  <c r="S73" i="3" s="1"/>
  <c r="C74" i="3"/>
  <c r="S74" i="3" s="1"/>
  <c r="C75" i="3"/>
  <c r="S75" i="3" s="1"/>
  <c r="C76" i="3"/>
  <c r="S76" i="3" s="1"/>
  <c r="C77" i="3"/>
  <c r="S77" i="3" s="1"/>
  <c r="C78" i="3"/>
  <c r="S78" i="3" s="1"/>
  <c r="C80" i="3"/>
  <c r="S80" i="3" s="1"/>
  <c r="D57" i="3"/>
  <c r="D58" i="3"/>
  <c r="D59" i="3"/>
  <c r="D60" i="3"/>
  <c r="D61" i="3"/>
  <c r="D62" i="3"/>
  <c r="D63" i="3"/>
  <c r="D64" i="3"/>
  <c r="D65" i="3"/>
  <c r="D66" i="3"/>
  <c r="D67" i="3"/>
  <c r="D68" i="3"/>
  <c r="D72" i="3"/>
  <c r="D73" i="3"/>
  <c r="D74" i="3"/>
  <c r="D75" i="3"/>
  <c r="D76" i="3"/>
  <c r="D77" i="3"/>
  <c r="D78" i="3"/>
  <c r="I57" i="3"/>
  <c r="I58" i="3"/>
  <c r="I59" i="3"/>
  <c r="I60" i="3"/>
  <c r="I68" i="3"/>
  <c r="I72" i="3"/>
  <c r="I73" i="3"/>
  <c r="I74" i="3"/>
  <c r="I75" i="3"/>
  <c r="I76" i="3"/>
  <c r="I77" i="3"/>
  <c r="I78" i="3"/>
  <c r="I80" i="3"/>
  <c r="L57" i="3"/>
  <c r="L58" i="3"/>
  <c r="L59" i="3"/>
  <c r="L60" i="3"/>
  <c r="L61" i="3"/>
  <c r="L62" i="3"/>
  <c r="L63" i="3"/>
  <c r="L64" i="3"/>
  <c r="L65" i="3"/>
  <c r="L66" i="3"/>
  <c r="L67" i="3"/>
  <c r="L68" i="3"/>
  <c r="L72" i="3"/>
  <c r="L73" i="3"/>
  <c r="L74" i="3"/>
  <c r="L75" i="3"/>
  <c r="L76" i="3"/>
  <c r="L77" i="3"/>
  <c r="L78" i="3"/>
  <c r="L80" i="3"/>
  <c r="M57" i="3"/>
  <c r="P57" i="3" s="1"/>
  <c r="M58" i="3"/>
  <c r="P58" i="3" s="1"/>
  <c r="M59" i="3"/>
  <c r="P59" i="3" s="1"/>
  <c r="M60" i="3"/>
  <c r="P60" i="3" s="1"/>
  <c r="M61" i="3"/>
  <c r="P61" i="3" s="1"/>
  <c r="M62" i="3"/>
  <c r="P62" i="3" s="1"/>
  <c r="M63" i="3"/>
  <c r="P63" i="3" s="1"/>
  <c r="M64" i="3"/>
  <c r="P64" i="3" s="1"/>
  <c r="M65" i="3"/>
  <c r="P65" i="3" s="1"/>
  <c r="M66" i="3"/>
  <c r="P66" i="3" s="1"/>
  <c r="M67" i="3"/>
  <c r="P67" i="3" s="1"/>
  <c r="M68" i="3"/>
  <c r="P68" i="3" s="1"/>
  <c r="M72" i="3"/>
  <c r="P72" i="3" s="1"/>
  <c r="M73" i="3"/>
  <c r="P73" i="3" s="1"/>
  <c r="M74" i="3"/>
  <c r="P74" i="3" s="1"/>
  <c r="M75" i="3"/>
  <c r="P75" i="3" s="1"/>
  <c r="M76" i="3"/>
  <c r="P76" i="3" s="1"/>
  <c r="M77" i="3"/>
  <c r="P77" i="3" s="1"/>
  <c r="M78" i="3"/>
  <c r="P78" i="3" s="1"/>
  <c r="M80" i="3"/>
  <c r="P80" i="3" s="1"/>
  <c r="N57" i="3"/>
  <c r="O57" i="3" s="1"/>
  <c r="N58" i="3"/>
  <c r="O58" i="3" s="1"/>
  <c r="N59" i="3"/>
  <c r="O59" i="3" s="1"/>
  <c r="N60" i="3"/>
  <c r="O60" i="3" s="1"/>
  <c r="N61" i="3"/>
  <c r="O61" i="3" s="1"/>
  <c r="N62" i="3"/>
  <c r="O62" i="3" s="1"/>
  <c r="N63" i="3"/>
  <c r="O63" i="3" s="1"/>
  <c r="N64" i="3"/>
  <c r="O64" i="3" s="1"/>
  <c r="N65" i="3"/>
  <c r="O65" i="3" s="1"/>
  <c r="N66" i="3"/>
  <c r="O66" i="3" s="1"/>
  <c r="N67" i="3"/>
  <c r="O67" i="3" s="1"/>
  <c r="N68" i="3"/>
  <c r="O68" i="3" s="1"/>
  <c r="N72" i="3"/>
  <c r="O72" i="3" s="1"/>
  <c r="N73" i="3"/>
  <c r="O73" i="3" s="1"/>
  <c r="N74" i="3"/>
  <c r="O74" i="3" s="1"/>
  <c r="N75" i="3"/>
  <c r="O75" i="3" s="1"/>
  <c r="N76" i="3"/>
  <c r="O76" i="3" s="1"/>
  <c r="N77" i="3"/>
  <c r="O77" i="3" s="1"/>
  <c r="N78" i="3"/>
  <c r="O78" i="3" s="1"/>
  <c r="N80" i="3"/>
  <c r="O80" i="3" s="1"/>
  <c r="B55" i="3"/>
  <c r="C55" i="3"/>
  <c r="S55" i="3" s="1"/>
  <c r="D55" i="3"/>
  <c r="I55" i="3"/>
  <c r="L55" i="3"/>
  <c r="M55" i="3"/>
  <c r="P55" i="3" s="1"/>
  <c r="N55" i="3"/>
  <c r="O55" i="3" s="1"/>
  <c r="T60" i="3" l="1"/>
  <c r="T65" i="3"/>
  <c r="T62" i="3"/>
  <c r="T55" i="3"/>
  <c r="T58" i="3"/>
  <c r="T80" i="3"/>
  <c r="T75" i="3"/>
  <c r="T74" i="3"/>
  <c r="T79" i="3"/>
  <c r="T59" i="3"/>
  <c r="T57" i="3"/>
  <c r="T81" i="3"/>
  <c r="T77" i="3"/>
  <c r="T76" i="3"/>
  <c r="T73" i="3"/>
  <c r="T72" i="3"/>
  <c r="T67" i="3"/>
  <c r="T64" i="3"/>
  <c r="T63" i="3"/>
  <c r="T61" i="3"/>
  <c r="T78" i="3"/>
  <c r="T68" i="3"/>
  <c r="T66" i="3"/>
  <c r="H13" i="1"/>
  <c r="K55" i="3" s="1"/>
  <c r="J55" i="3" s="1"/>
  <c r="B54" i="3"/>
  <c r="C54" i="3"/>
  <c r="S54" i="3" s="1"/>
  <c r="D54" i="3"/>
  <c r="I54" i="3"/>
  <c r="L54" i="3"/>
  <c r="M54" i="3"/>
  <c r="P54" i="3" s="1"/>
  <c r="N54" i="3"/>
  <c r="O54" i="3" s="1"/>
  <c r="T54" i="3" l="1"/>
  <c r="K54" i="3"/>
  <c r="J54" i="3" s="1"/>
  <c r="B47" i="3"/>
  <c r="C47" i="3"/>
  <c r="S47" i="3" s="1"/>
  <c r="D47" i="3"/>
  <c r="I47" i="3"/>
  <c r="L47" i="3"/>
  <c r="M47" i="3"/>
  <c r="P47" i="3" s="1"/>
  <c r="N47" i="3"/>
  <c r="O47" i="3" s="1"/>
  <c r="B48" i="3"/>
  <c r="C48" i="3"/>
  <c r="S48" i="3" s="1"/>
  <c r="D48" i="3"/>
  <c r="I48" i="3"/>
  <c r="L48" i="3"/>
  <c r="M48" i="3"/>
  <c r="P48" i="3" s="1"/>
  <c r="N48" i="3"/>
  <c r="O48" i="3" s="1"/>
  <c r="I43" i="3"/>
  <c r="B43" i="3"/>
  <c r="B44" i="3"/>
  <c r="B45" i="3"/>
  <c r="C43" i="3"/>
  <c r="S43" i="3" s="1"/>
  <c r="C44" i="3"/>
  <c r="S44" i="3" s="1"/>
  <c r="C45" i="3"/>
  <c r="S45" i="3" s="1"/>
  <c r="D43" i="3"/>
  <c r="D44" i="3"/>
  <c r="D45" i="3"/>
  <c r="I44" i="3"/>
  <c r="I45" i="3"/>
  <c r="L43" i="3"/>
  <c r="L44" i="3"/>
  <c r="L45" i="3"/>
  <c r="M43" i="3"/>
  <c r="P43" i="3" s="1"/>
  <c r="M44" i="3"/>
  <c r="P44" i="3" s="1"/>
  <c r="M45" i="3"/>
  <c r="P45" i="3" s="1"/>
  <c r="N43" i="3"/>
  <c r="O43" i="3" s="1"/>
  <c r="N44" i="3"/>
  <c r="O44" i="3" s="1"/>
  <c r="N45" i="3"/>
  <c r="O45" i="3" s="1"/>
  <c r="T45" i="3" l="1"/>
  <c r="T44" i="3"/>
  <c r="T43" i="3"/>
  <c r="T48" i="3"/>
  <c r="T47" i="3"/>
  <c r="I37" i="3"/>
  <c r="I33" i="3"/>
  <c r="I32" i="3"/>
  <c r="I30" i="3"/>
  <c r="I29" i="3"/>
  <c r="I28" i="3"/>
  <c r="I27" i="3"/>
  <c r="I26" i="3"/>
  <c r="I25" i="3"/>
  <c r="B34" i="3"/>
  <c r="B35" i="3"/>
  <c r="B36" i="3"/>
  <c r="C34" i="3"/>
  <c r="S34" i="3" s="1"/>
  <c r="C35" i="3"/>
  <c r="S35" i="3" s="1"/>
  <c r="C36" i="3"/>
  <c r="S36" i="3" s="1"/>
  <c r="D34" i="3"/>
  <c r="D35" i="3"/>
  <c r="D36" i="3"/>
  <c r="I34" i="3"/>
  <c r="I35" i="3"/>
  <c r="I36" i="3"/>
  <c r="L34" i="3"/>
  <c r="L35" i="3"/>
  <c r="L36" i="3"/>
  <c r="M34" i="3"/>
  <c r="P34" i="3" s="1"/>
  <c r="M35" i="3"/>
  <c r="P35" i="3" s="1"/>
  <c r="M36" i="3"/>
  <c r="P36" i="3" s="1"/>
  <c r="N34" i="3"/>
  <c r="O34" i="3" s="1"/>
  <c r="N35" i="3"/>
  <c r="O35" i="3" s="1"/>
  <c r="N36" i="3"/>
  <c r="O36" i="3" s="1"/>
  <c r="B25" i="3"/>
  <c r="B26" i="3"/>
  <c r="B27" i="3"/>
  <c r="B28" i="3"/>
  <c r="B29" i="3"/>
  <c r="B30" i="3"/>
  <c r="B31" i="3"/>
  <c r="C25" i="3"/>
  <c r="S25" i="3" s="1"/>
  <c r="C26" i="3"/>
  <c r="S26" i="3" s="1"/>
  <c r="C27" i="3"/>
  <c r="S27" i="3" s="1"/>
  <c r="C28" i="3"/>
  <c r="S28" i="3" s="1"/>
  <c r="C29" i="3"/>
  <c r="S29" i="3" s="1"/>
  <c r="C30" i="3"/>
  <c r="S30" i="3" s="1"/>
  <c r="C31" i="3"/>
  <c r="S31" i="3" s="1"/>
  <c r="D25" i="3"/>
  <c r="D26" i="3"/>
  <c r="D27" i="3"/>
  <c r="D28" i="3"/>
  <c r="D29" i="3"/>
  <c r="D30" i="3"/>
  <c r="D31" i="3"/>
  <c r="I31" i="3"/>
  <c r="L25" i="3"/>
  <c r="L26" i="3"/>
  <c r="L27" i="3"/>
  <c r="L28" i="3"/>
  <c r="L29" i="3"/>
  <c r="L30" i="3"/>
  <c r="L31" i="3"/>
  <c r="M25" i="3"/>
  <c r="P25" i="3" s="1"/>
  <c r="M26" i="3"/>
  <c r="P26" i="3" s="1"/>
  <c r="M27" i="3"/>
  <c r="P27" i="3" s="1"/>
  <c r="M28" i="3"/>
  <c r="P28" i="3" s="1"/>
  <c r="M29" i="3"/>
  <c r="P29" i="3" s="1"/>
  <c r="M30" i="3"/>
  <c r="P30" i="3" s="1"/>
  <c r="M31" i="3"/>
  <c r="P31" i="3" s="1"/>
  <c r="N25" i="3"/>
  <c r="O25" i="3" s="1"/>
  <c r="N26" i="3"/>
  <c r="O26" i="3" s="1"/>
  <c r="N27" i="3"/>
  <c r="O27" i="3" s="1"/>
  <c r="N28" i="3"/>
  <c r="O28" i="3" s="1"/>
  <c r="N29" i="3"/>
  <c r="O29" i="3" s="1"/>
  <c r="N30" i="3"/>
  <c r="O30" i="3" s="1"/>
  <c r="N31" i="3"/>
  <c r="O31" i="3" s="1"/>
  <c r="B24" i="3"/>
  <c r="B32" i="3"/>
  <c r="B33" i="3"/>
  <c r="B37" i="3"/>
  <c r="B38" i="3"/>
  <c r="B39" i="3"/>
  <c r="B40" i="3"/>
  <c r="B41" i="3"/>
  <c r="C24" i="3"/>
  <c r="S24" i="3" s="1"/>
  <c r="C32" i="3"/>
  <c r="S32" i="3" s="1"/>
  <c r="C33" i="3"/>
  <c r="S33" i="3" s="1"/>
  <c r="C37" i="3"/>
  <c r="S37" i="3" s="1"/>
  <c r="C38" i="3"/>
  <c r="S38" i="3" s="1"/>
  <c r="C39" i="3"/>
  <c r="S39" i="3" s="1"/>
  <c r="C40" i="3"/>
  <c r="S40" i="3" s="1"/>
  <c r="C41" i="3"/>
  <c r="S41" i="3" s="1"/>
  <c r="D24" i="3"/>
  <c r="D32" i="3"/>
  <c r="D33" i="3"/>
  <c r="D37" i="3"/>
  <c r="D38" i="3"/>
  <c r="D39" i="3"/>
  <c r="D40" i="3"/>
  <c r="D41" i="3"/>
  <c r="I24" i="3"/>
  <c r="I38" i="3"/>
  <c r="I39" i="3"/>
  <c r="I40" i="3"/>
  <c r="I41" i="3"/>
  <c r="L24" i="3"/>
  <c r="L32" i="3"/>
  <c r="L33" i="3"/>
  <c r="L37" i="3"/>
  <c r="L38" i="3"/>
  <c r="L39" i="3"/>
  <c r="L40" i="3"/>
  <c r="L41" i="3"/>
  <c r="M24" i="3"/>
  <c r="P24" i="3" s="1"/>
  <c r="M32" i="3"/>
  <c r="P32" i="3" s="1"/>
  <c r="M33" i="3"/>
  <c r="P33" i="3" s="1"/>
  <c r="M37" i="3"/>
  <c r="P37" i="3" s="1"/>
  <c r="M38" i="3"/>
  <c r="P38" i="3" s="1"/>
  <c r="M39" i="3"/>
  <c r="P39" i="3" s="1"/>
  <c r="M40" i="3"/>
  <c r="P40" i="3" s="1"/>
  <c r="M41" i="3"/>
  <c r="P41" i="3" s="1"/>
  <c r="N24" i="3"/>
  <c r="O24" i="3" s="1"/>
  <c r="N32" i="3"/>
  <c r="O32" i="3" s="1"/>
  <c r="O33" i="3"/>
  <c r="N37" i="3"/>
  <c r="O37" i="3" s="1"/>
  <c r="N38" i="3"/>
  <c r="O38" i="3" s="1"/>
  <c r="N39" i="3"/>
  <c r="O39" i="3" s="1"/>
  <c r="N40" i="3"/>
  <c r="O40" i="3" s="1"/>
  <c r="N41" i="3"/>
  <c r="O41" i="3" s="1"/>
  <c r="T41" i="3" l="1"/>
  <c r="T37" i="3"/>
  <c r="T36" i="3"/>
  <c r="T32" i="3"/>
  <c r="T31" i="3"/>
  <c r="T40" i="3"/>
  <c r="T33" i="3"/>
  <c r="T26" i="3"/>
  <c r="T25" i="3"/>
  <c r="T35" i="3"/>
  <c r="T24" i="3"/>
  <c r="T30" i="3"/>
  <c r="T29" i="3"/>
  <c r="T27" i="3"/>
  <c r="T34" i="3"/>
  <c r="T39" i="3"/>
  <c r="T38" i="3"/>
  <c r="T28" i="3"/>
  <c r="H17" i="1"/>
  <c r="H16" i="1"/>
  <c r="H18" i="1"/>
  <c r="H19" i="1"/>
  <c r="H15" i="1"/>
  <c r="B83" i="3"/>
  <c r="C83" i="3"/>
  <c r="S83" i="3" s="1"/>
  <c r="I83" i="3"/>
  <c r="L83" i="3"/>
  <c r="M83" i="3"/>
  <c r="P83" i="3" s="1"/>
  <c r="N83" i="3"/>
  <c r="O83" i="3" s="1"/>
  <c r="T83" i="3" l="1"/>
  <c r="K88" i="3"/>
  <c r="J88" i="3" s="1"/>
  <c r="K90" i="3"/>
  <c r="J90" i="3" s="1"/>
  <c r="K57" i="3"/>
  <c r="J57" i="3" s="1"/>
  <c r="K59" i="3"/>
  <c r="J59" i="3" s="1"/>
  <c r="K68" i="3"/>
  <c r="J68" i="3" s="1"/>
  <c r="K61" i="3"/>
  <c r="J61" i="3" s="1"/>
  <c r="K73" i="3"/>
  <c r="J73" i="3" s="1"/>
  <c r="K76" i="3"/>
  <c r="J76" i="3" s="1"/>
  <c r="K64" i="3"/>
  <c r="J64" i="3" s="1"/>
  <c r="K66" i="3"/>
  <c r="J66" i="3" s="1"/>
  <c r="K58" i="3"/>
  <c r="J58" i="3" s="1"/>
  <c r="K77" i="3"/>
  <c r="J77" i="3" s="1"/>
  <c r="K60" i="3"/>
  <c r="J60" i="3" s="1"/>
  <c r="K72" i="3"/>
  <c r="J72" i="3" s="1"/>
  <c r="K74" i="3"/>
  <c r="J74" i="3" s="1"/>
  <c r="K67" i="3"/>
  <c r="J67" i="3" s="1"/>
  <c r="K62" i="3"/>
  <c r="J62" i="3" s="1"/>
  <c r="K65" i="3"/>
  <c r="J65" i="3" s="1"/>
  <c r="K75" i="3"/>
  <c r="J75" i="3" s="1"/>
  <c r="K78" i="3"/>
  <c r="J78" i="3" s="1"/>
  <c r="K79" i="3"/>
  <c r="J79" i="3" s="1"/>
  <c r="K81" i="3"/>
  <c r="J81" i="3" s="1"/>
  <c r="K63" i="3"/>
  <c r="J63" i="3" s="1"/>
  <c r="H11" i="1"/>
  <c r="B82" i="3"/>
  <c r="C82" i="3"/>
  <c r="S82" i="3" s="1"/>
  <c r="I82" i="3"/>
  <c r="L82" i="3"/>
  <c r="M82" i="3"/>
  <c r="P82" i="3" s="1"/>
  <c r="N82" i="3"/>
  <c r="O82" i="3" s="1"/>
  <c r="B56" i="3"/>
  <c r="C56" i="3"/>
  <c r="S56" i="3" s="1"/>
  <c r="D56" i="3"/>
  <c r="L56" i="3"/>
  <c r="M56" i="3"/>
  <c r="P56" i="3" s="1"/>
  <c r="N56" i="3"/>
  <c r="O56" i="3" s="1"/>
  <c r="T82" i="3" l="1"/>
  <c r="T56" i="3"/>
  <c r="K87" i="3"/>
  <c r="J87" i="3" s="1"/>
  <c r="K89" i="3"/>
  <c r="J89" i="3" s="1"/>
  <c r="I2" i="3"/>
  <c r="B53" i="3"/>
  <c r="C53" i="3"/>
  <c r="S53" i="3" s="1"/>
  <c r="D53" i="3"/>
  <c r="I53" i="3"/>
  <c r="L53" i="3"/>
  <c r="M53" i="3"/>
  <c r="P53" i="3" s="1"/>
  <c r="N53" i="3"/>
  <c r="O53" i="3" s="1"/>
  <c r="B52" i="3"/>
  <c r="C52" i="3"/>
  <c r="S52" i="3" s="1"/>
  <c r="D52" i="3"/>
  <c r="I52" i="3"/>
  <c r="L52" i="3"/>
  <c r="M52" i="3"/>
  <c r="P52" i="3" s="1"/>
  <c r="N52" i="3"/>
  <c r="O52" i="3" s="1"/>
  <c r="B51" i="3"/>
  <c r="C51" i="3"/>
  <c r="S51" i="3" s="1"/>
  <c r="D51" i="3"/>
  <c r="I51" i="3"/>
  <c r="L51" i="3"/>
  <c r="M51" i="3"/>
  <c r="P51" i="3" s="1"/>
  <c r="N51" i="3"/>
  <c r="O51" i="3" s="1"/>
  <c r="H12" i="1"/>
  <c r="B49" i="3"/>
  <c r="C49" i="3"/>
  <c r="S49" i="3" s="1"/>
  <c r="D49" i="3"/>
  <c r="I49" i="3"/>
  <c r="L49" i="3"/>
  <c r="M49" i="3"/>
  <c r="P49" i="3" s="1"/>
  <c r="N49" i="3"/>
  <c r="O49" i="3" s="1"/>
  <c r="B46" i="3"/>
  <c r="C46" i="3"/>
  <c r="S46" i="3" s="1"/>
  <c r="D46" i="3"/>
  <c r="I46" i="3"/>
  <c r="L46" i="3"/>
  <c r="M46" i="3"/>
  <c r="P46" i="3" s="1"/>
  <c r="N46" i="3"/>
  <c r="O46" i="3" s="1"/>
  <c r="H10" i="1"/>
  <c r="H7" i="1"/>
  <c r="B42" i="3"/>
  <c r="C42" i="3"/>
  <c r="S42" i="3" s="1"/>
  <c r="D42" i="3"/>
  <c r="I42" i="3"/>
  <c r="L42" i="3"/>
  <c r="M42" i="3"/>
  <c r="P42" i="3" s="1"/>
  <c r="N42" i="3"/>
  <c r="O42" i="3" s="1"/>
  <c r="H14" i="1"/>
  <c r="K80" i="3" s="1"/>
  <c r="J80" i="3" s="1"/>
  <c r="H5" i="1"/>
  <c r="B23" i="3"/>
  <c r="C23" i="3"/>
  <c r="S23" i="3" s="1"/>
  <c r="D23" i="3"/>
  <c r="I23" i="3"/>
  <c r="L23" i="3"/>
  <c r="M23" i="3"/>
  <c r="P23" i="3" s="1"/>
  <c r="N23" i="3"/>
  <c r="O23" i="3" s="1"/>
  <c r="B22" i="3"/>
  <c r="C22" i="3"/>
  <c r="S22" i="3" s="1"/>
  <c r="D22" i="3"/>
  <c r="I22" i="3"/>
  <c r="L22" i="3"/>
  <c r="M22" i="3"/>
  <c r="P22" i="3" s="1"/>
  <c r="N22" i="3"/>
  <c r="O22" i="3" s="1"/>
  <c r="B21" i="3"/>
  <c r="C21" i="3"/>
  <c r="S21" i="3" s="1"/>
  <c r="D21" i="3"/>
  <c r="I21" i="3"/>
  <c r="L21" i="3"/>
  <c r="M21" i="3"/>
  <c r="P21" i="3" s="1"/>
  <c r="N21" i="3"/>
  <c r="O21" i="3" s="1"/>
  <c r="B20" i="3"/>
  <c r="C20" i="3"/>
  <c r="S20" i="3" s="1"/>
  <c r="D20" i="3"/>
  <c r="I20" i="3"/>
  <c r="L20" i="3"/>
  <c r="M20" i="3"/>
  <c r="P20" i="3" s="1"/>
  <c r="N20" i="3"/>
  <c r="O20" i="3" s="1"/>
  <c r="B19" i="3"/>
  <c r="C19" i="3"/>
  <c r="S19" i="3" s="1"/>
  <c r="D19" i="3"/>
  <c r="I19" i="3"/>
  <c r="L19" i="3"/>
  <c r="M19" i="3"/>
  <c r="P19" i="3" s="1"/>
  <c r="N19" i="3"/>
  <c r="O19" i="3" s="1"/>
  <c r="B18" i="3"/>
  <c r="C18" i="3"/>
  <c r="S18" i="3" s="1"/>
  <c r="D18" i="3"/>
  <c r="I18" i="3"/>
  <c r="L18" i="3"/>
  <c r="M18" i="3"/>
  <c r="P18" i="3" s="1"/>
  <c r="N18" i="3"/>
  <c r="O18" i="3" s="1"/>
  <c r="B17" i="3"/>
  <c r="C17" i="3"/>
  <c r="S17" i="3" s="1"/>
  <c r="D17" i="3"/>
  <c r="I17" i="3"/>
  <c r="L17" i="3"/>
  <c r="M17" i="3"/>
  <c r="P17" i="3" s="1"/>
  <c r="N17" i="3"/>
  <c r="O17" i="3" s="1"/>
  <c r="B16" i="3"/>
  <c r="C16" i="3"/>
  <c r="S16" i="3" s="1"/>
  <c r="D16" i="3"/>
  <c r="I16" i="3"/>
  <c r="L16" i="3"/>
  <c r="M16" i="3"/>
  <c r="P16" i="3" s="1"/>
  <c r="N16" i="3"/>
  <c r="O16" i="3" s="1"/>
  <c r="B15" i="3"/>
  <c r="C15" i="3"/>
  <c r="S15" i="3" s="1"/>
  <c r="D15" i="3"/>
  <c r="I15" i="3"/>
  <c r="L15" i="3"/>
  <c r="M15" i="3"/>
  <c r="P15" i="3" s="1"/>
  <c r="N15" i="3"/>
  <c r="O15" i="3" s="1"/>
  <c r="B14" i="3"/>
  <c r="C14" i="3"/>
  <c r="S14" i="3" s="1"/>
  <c r="D14" i="3"/>
  <c r="I14" i="3"/>
  <c r="L14" i="3"/>
  <c r="M14" i="3"/>
  <c r="P14" i="3" s="1"/>
  <c r="N14" i="3"/>
  <c r="O14" i="3" s="1"/>
  <c r="B13" i="3"/>
  <c r="C13" i="3"/>
  <c r="S13" i="3" s="1"/>
  <c r="D13" i="3"/>
  <c r="I13" i="3"/>
  <c r="L13" i="3"/>
  <c r="M13" i="3"/>
  <c r="P13" i="3" s="1"/>
  <c r="N13" i="3"/>
  <c r="O13" i="3" s="1"/>
  <c r="B12" i="3"/>
  <c r="C12" i="3"/>
  <c r="S12" i="3" s="1"/>
  <c r="D12" i="3"/>
  <c r="I12" i="3"/>
  <c r="L12" i="3"/>
  <c r="M12" i="3"/>
  <c r="P12" i="3" s="1"/>
  <c r="N12" i="3"/>
  <c r="O12" i="3" s="1"/>
  <c r="B11" i="3"/>
  <c r="C11" i="3"/>
  <c r="S11" i="3" s="1"/>
  <c r="D11" i="3"/>
  <c r="I11" i="3"/>
  <c r="L11" i="3"/>
  <c r="M11" i="3"/>
  <c r="P11" i="3" s="1"/>
  <c r="N11" i="3"/>
  <c r="O11" i="3" s="1"/>
  <c r="B10" i="3"/>
  <c r="C10" i="3"/>
  <c r="S10" i="3" s="1"/>
  <c r="D10" i="3"/>
  <c r="I10" i="3"/>
  <c r="L10" i="3"/>
  <c r="M10" i="3"/>
  <c r="P10" i="3" s="1"/>
  <c r="N10" i="3"/>
  <c r="O10" i="3" s="1"/>
  <c r="B9" i="3"/>
  <c r="C9" i="3"/>
  <c r="S9" i="3" s="1"/>
  <c r="D9" i="3"/>
  <c r="I9" i="3"/>
  <c r="L9" i="3"/>
  <c r="M9" i="3"/>
  <c r="P9" i="3" s="1"/>
  <c r="N9" i="3"/>
  <c r="O9" i="3" s="1"/>
  <c r="B8" i="3"/>
  <c r="C8" i="3"/>
  <c r="S8" i="3" s="1"/>
  <c r="D8" i="3"/>
  <c r="I8" i="3"/>
  <c r="L8" i="3"/>
  <c r="M8" i="3"/>
  <c r="P8" i="3" s="1"/>
  <c r="N8" i="3"/>
  <c r="O8" i="3" s="1"/>
  <c r="B7" i="3"/>
  <c r="C7" i="3"/>
  <c r="S7" i="3" s="1"/>
  <c r="D7" i="3"/>
  <c r="I7" i="3"/>
  <c r="L7" i="3"/>
  <c r="M7" i="3"/>
  <c r="P7" i="3" s="1"/>
  <c r="N7" i="3"/>
  <c r="O7" i="3" s="1"/>
  <c r="B6" i="3"/>
  <c r="C6" i="3"/>
  <c r="S6" i="3" s="1"/>
  <c r="D6" i="3"/>
  <c r="I6" i="3"/>
  <c r="L6" i="3"/>
  <c r="M6" i="3"/>
  <c r="P6" i="3" s="1"/>
  <c r="N6" i="3"/>
  <c r="O6" i="3" s="1"/>
  <c r="B5" i="3"/>
  <c r="C5" i="3"/>
  <c r="S5" i="3" s="1"/>
  <c r="D5" i="3"/>
  <c r="I5" i="3"/>
  <c r="L5" i="3"/>
  <c r="M5" i="3"/>
  <c r="P5" i="3" s="1"/>
  <c r="N5" i="3"/>
  <c r="O5" i="3" s="1"/>
  <c r="B4" i="3"/>
  <c r="C4" i="3"/>
  <c r="S4" i="3" s="1"/>
  <c r="D4" i="3"/>
  <c r="I4" i="3"/>
  <c r="L4" i="3"/>
  <c r="M4" i="3"/>
  <c r="P4" i="3" s="1"/>
  <c r="N4" i="3"/>
  <c r="O4" i="3" s="1"/>
  <c r="B3" i="3"/>
  <c r="C3" i="3"/>
  <c r="S3" i="3" s="1"/>
  <c r="D3" i="3"/>
  <c r="I3" i="3"/>
  <c r="L3" i="3"/>
  <c r="M3" i="3"/>
  <c r="P3" i="3" s="1"/>
  <c r="N3" i="3"/>
  <c r="O3" i="3" s="1"/>
  <c r="M2" i="3"/>
  <c r="L2" i="3"/>
  <c r="N2" i="3"/>
  <c r="O2" i="3" s="1"/>
  <c r="D2" i="3"/>
  <c r="C2" i="3"/>
  <c r="S2" i="3" s="1"/>
  <c r="B2" i="3"/>
  <c r="T49" i="3" l="1"/>
  <c r="T18" i="3"/>
  <c r="T9" i="3"/>
  <c r="T51" i="3"/>
  <c r="T19" i="3"/>
  <c r="T2" i="3"/>
  <c r="B3" i="4"/>
  <c r="T15" i="3"/>
  <c r="T52" i="3"/>
  <c r="T6" i="3"/>
  <c r="T42" i="3"/>
  <c r="T4" i="3"/>
  <c r="T14" i="3"/>
  <c r="T13" i="3"/>
  <c r="T23" i="3"/>
  <c r="T8" i="3"/>
  <c r="T22" i="3"/>
  <c r="T5" i="3"/>
  <c r="T10" i="3"/>
  <c r="T20" i="3"/>
  <c r="T11" i="3"/>
  <c r="T16" i="3"/>
  <c r="T53" i="3"/>
  <c r="T7" i="3"/>
  <c r="T21" i="3"/>
  <c r="T46" i="3"/>
  <c r="T12" i="3"/>
  <c r="T3" i="3"/>
  <c r="T17" i="3"/>
  <c r="K84" i="3"/>
  <c r="J84" i="3" s="1"/>
  <c r="K85" i="3"/>
  <c r="J85" i="3" s="1"/>
  <c r="K86" i="3"/>
  <c r="J86" i="3" s="1"/>
  <c r="P2" i="3"/>
  <c r="F7" i="5"/>
  <c r="F8" i="5" s="1"/>
  <c r="K49" i="3"/>
  <c r="J49" i="3" s="1"/>
  <c r="K50" i="3"/>
  <c r="J50" i="3" s="1"/>
  <c r="K52" i="3"/>
  <c r="J52" i="3" s="1"/>
  <c r="K47" i="3"/>
  <c r="J47" i="3" s="1"/>
  <c r="K48" i="3"/>
  <c r="J48" i="3" s="1"/>
  <c r="K44" i="3"/>
  <c r="J44" i="3" s="1"/>
  <c r="K45" i="3"/>
  <c r="J45" i="3" s="1"/>
  <c r="K43" i="3"/>
  <c r="J43" i="3" s="1"/>
  <c r="K28" i="3"/>
  <c r="J28" i="3" s="1"/>
  <c r="K34" i="3"/>
  <c r="J34" i="3" s="1"/>
  <c r="K33" i="3"/>
  <c r="J33" i="3" s="1"/>
  <c r="K40" i="3"/>
  <c r="J40" i="3" s="1"/>
  <c r="K29" i="3"/>
  <c r="J29" i="3" s="1"/>
  <c r="K30" i="3"/>
  <c r="J30" i="3" s="1"/>
  <c r="K37" i="3"/>
  <c r="J37" i="3" s="1"/>
  <c r="K39" i="3"/>
  <c r="J39" i="3" s="1"/>
  <c r="K25" i="3"/>
  <c r="J25" i="3" s="1"/>
  <c r="K26" i="3"/>
  <c r="J26" i="3" s="1"/>
  <c r="K27" i="3"/>
  <c r="J27" i="3" s="1"/>
  <c r="K31" i="3"/>
  <c r="J31" i="3" s="1"/>
  <c r="K24" i="3"/>
  <c r="J24" i="3" s="1"/>
  <c r="K32" i="3"/>
  <c r="J32" i="3" s="1"/>
  <c r="K35" i="3"/>
  <c r="J35" i="3" s="1"/>
  <c r="K36" i="3"/>
  <c r="J36" i="3" s="1"/>
  <c r="K38" i="3"/>
  <c r="J38" i="3" s="1"/>
  <c r="K41" i="3"/>
  <c r="J41" i="3" s="1"/>
  <c r="K51" i="3"/>
  <c r="J51" i="3" s="1"/>
  <c r="K42" i="3"/>
  <c r="J42" i="3" s="1"/>
  <c r="K56" i="3"/>
  <c r="J56" i="3" s="1"/>
  <c r="K46" i="3"/>
  <c r="J46" i="3" s="1"/>
  <c r="K53" i="3"/>
  <c r="J53" i="3" s="1"/>
  <c r="K23" i="3"/>
  <c r="J23" i="3" s="1"/>
  <c r="H20" i="1"/>
  <c r="H2" i="1"/>
  <c r="H3" i="1"/>
  <c r="F16" i="5" l="1"/>
  <c r="F13" i="5"/>
  <c r="K15" i="3"/>
  <c r="J15" i="3" s="1"/>
  <c r="K16" i="3"/>
  <c r="J16" i="3" s="1"/>
  <c r="K83" i="3"/>
  <c r="J83" i="3" s="1"/>
  <c r="K82" i="3"/>
  <c r="J82" i="3" s="1"/>
  <c r="K22" i="3"/>
  <c r="J22" i="3" s="1"/>
  <c r="K21" i="3"/>
  <c r="J21" i="3" s="1"/>
  <c r="K19" i="3"/>
  <c r="J19" i="3" s="1"/>
  <c r="K20" i="3"/>
  <c r="J20" i="3" s="1"/>
  <c r="K17" i="3"/>
  <c r="J17" i="3" s="1"/>
  <c r="K18" i="3"/>
  <c r="J18" i="3" s="1"/>
  <c r="K9" i="3"/>
  <c r="J9" i="3" s="1"/>
  <c r="K7" i="3"/>
  <c r="J7" i="3" s="1"/>
  <c r="K11" i="3"/>
  <c r="J11" i="3" s="1"/>
  <c r="K12" i="3"/>
  <c r="J12" i="3" s="1"/>
  <c r="K6" i="3"/>
  <c r="J6" i="3" s="1"/>
  <c r="K10" i="3"/>
  <c r="J10" i="3" s="1"/>
  <c r="K4" i="3"/>
  <c r="J4" i="3" s="1"/>
  <c r="K5" i="3"/>
  <c r="J5" i="3" s="1"/>
  <c r="K2" i="3"/>
  <c r="J2" i="3" s="1"/>
  <c r="K8" i="3"/>
  <c r="J8" i="3" s="1"/>
  <c r="K3" i="3"/>
  <c r="J3" i="3" s="1"/>
  <c r="K14" i="3"/>
  <c r="J14" i="3" s="1"/>
  <c r="K13" i="3"/>
  <c r="J13" i="3" s="1"/>
  <c r="F12" i="5" l="1"/>
  <c r="F17" i="5" s="1"/>
  <c r="B2" i="5"/>
  <c r="F14" i="5" l="1"/>
  <c r="U78" i="3"/>
  <c r="U73" i="3"/>
  <c r="U46" i="3"/>
  <c r="U74" i="3"/>
  <c r="U31" i="3"/>
  <c r="U8" i="3"/>
  <c r="U83" i="3"/>
  <c r="U82" i="3"/>
  <c r="U5" i="3"/>
  <c r="U77" i="3"/>
  <c r="U57" i="3"/>
  <c r="U35" i="3"/>
  <c r="U12" i="3"/>
  <c r="B4" i="4"/>
  <c r="U14" i="3" s="1"/>
  <c r="U89" i="3" l="1"/>
  <c r="U29" i="3"/>
  <c r="U39" i="3"/>
  <c r="U17" i="3"/>
  <c r="U20" i="3"/>
  <c r="U45" i="3"/>
  <c r="U32" i="3"/>
  <c r="U69" i="3"/>
  <c r="U70" i="3"/>
  <c r="U71" i="3"/>
  <c r="U90" i="3"/>
  <c r="U72" i="3"/>
  <c r="U26" i="3"/>
  <c r="U36" i="3"/>
  <c r="U54" i="3"/>
  <c r="U21" i="3"/>
  <c r="U3" i="3"/>
  <c r="U44" i="3"/>
  <c r="U16" i="3"/>
  <c r="U79" i="3"/>
  <c r="U63" i="3"/>
  <c r="U80" i="3"/>
  <c r="U27" i="3"/>
  <c r="U42" i="3"/>
  <c r="U2" i="3"/>
  <c r="U66" i="3"/>
  <c r="U59" i="3"/>
  <c r="U81" i="3"/>
  <c r="U76" i="3"/>
  <c r="U55" i="3"/>
  <c r="U24" i="3"/>
  <c r="B5" i="4"/>
  <c r="U140" i="3" s="1"/>
  <c r="U33" i="3"/>
  <c r="U23" i="3"/>
  <c r="U41" i="3"/>
  <c r="U58" i="3"/>
  <c r="U43" i="3"/>
  <c r="U64" i="3"/>
  <c r="U53" i="3"/>
  <c r="U28" i="3"/>
  <c r="U86" i="3"/>
  <c r="U7" i="3"/>
  <c r="U62" i="3"/>
  <c r="U38" i="3"/>
  <c r="U84" i="3"/>
  <c r="U85" i="3"/>
  <c r="U75" i="3"/>
  <c r="U19" i="3"/>
  <c r="U13" i="3"/>
  <c r="U52" i="3"/>
  <c r="U47" i="3"/>
  <c r="U68" i="3"/>
  <c r="U30" i="3"/>
  <c r="U48" i="3"/>
  <c r="U9" i="3"/>
  <c r="U4" i="3"/>
  <c r="U18" i="3"/>
  <c r="U56" i="3"/>
  <c r="U50" i="3"/>
  <c r="U34" i="3"/>
  <c r="U65" i="3"/>
  <c r="U40" i="3"/>
  <c r="U22" i="3"/>
  <c r="U6" i="3"/>
  <c r="U10" i="3"/>
  <c r="U61" i="3"/>
  <c r="U15" i="3"/>
  <c r="U87" i="3"/>
  <c r="U11" i="3"/>
  <c r="U67" i="3"/>
  <c r="U37" i="3"/>
  <c r="U51" i="3"/>
  <c r="U88" i="3"/>
  <c r="U49" i="3"/>
  <c r="U25" i="3"/>
  <c r="U60" i="3"/>
  <c r="U143" i="3" l="1"/>
  <c r="U123" i="3"/>
  <c r="U92" i="3"/>
  <c r="U144" i="3"/>
  <c r="U119" i="3"/>
  <c r="U142" i="3"/>
  <c r="U138" i="3"/>
  <c r="U97" i="3"/>
  <c r="U145" i="3"/>
  <c r="U125" i="3"/>
  <c r="U105" i="3"/>
  <c r="U95" i="3"/>
  <c r="U139" i="3"/>
  <c r="U121" i="3"/>
  <c r="U116" i="3"/>
  <c r="U101" i="3"/>
  <c r="U136" i="3"/>
  <c r="U118" i="3"/>
  <c r="U103" i="3"/>
  <c r="U111" i="3"/>
  <c r="U112" i="3"/>
  <c r="U94" i="3"/>
  <c r="U131" i="3"/>
  <c r="U134" i="3"/>
  <c r="U124" i="3"/>
  <c r="U91" i="3"/>
  <c r="U117" i="3"/>
  <c r="U141" i="3"/>
  <c r="U146" i="3"/>
  <c r="U114" i="3"/>
  <c r="U122" i="3"/>
  <c r="U113" i="3"/>
  <c r="U109" i="3"/>
  <c r="U120" i="3"/>
  <c r="U93" i="3"/>
  <c r="U107" i="3"/>
  <c r="U137" i="3"/>
  <c r="U104" i="3"/>
  <c r="U133" i="3"/>
  <c r="U108" i="3"/>
  <c r="U127" i="3"/>
  <c r="U100" i="3"/>
  <c r="U129" i="3"/>
  <c r="U106" i="3"/>
  <c r="U132" i="3"/>
  <c r="U102" i="3"/>
  <c r="U126" i="3"/>
  <c r="U98" i="3"/>
  <c r="U110" i="3"/>
  <c r="U115" i="3"/>
  <c r="U9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tc={734D34D1-A3B4-419C-91E5-2415CC7E1FF7}</author>
  </authors>
  <commentList>
    <comment ref="E1" authorId="0" shapeId="0" xr:uid="{734D34D1-A3B4-419C-91E5-2415CC7E1FF7}">
      <text>
        <t>[Threaded comment]
Your version of Excel allows you to read this threaded comment; however, any edits to it will get removed if the file is opened in a newer version of Excel. Learn more: https://go.microsoft.com/fwlink/?linkid=870924
Comment:
    载体</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tc={E68F4AA3-3D0A-4E51-9DB5-71D163687642}</author>
    <author>tc={60652D12-341E-458F-9404-85AE92F8BD45}</author>
    <author>tc={5D615C4E-EBE7-4C5B-AFF7-7BFD865942AD}</author>
    <author>tc={1AB846D4-C243-49DD-BFCE-0F152034E39C}</author>
    <author>tc={AF69EBA6-49A2-4E66-B2B5-ADDCB203CBBC}</author>
    <author>tc={89049742-F5D2-410B-B198-12AF77C32560}</author>
    <author>tc={8D1C1E60-2EA0-4CC8-8F9F-A8A7E37ADBA1}</author>
  </authors>
  <commentList>
    <comment ref="K2" authorId="0" shapeId="0" xr:uid="{E68F4AA3-3D0A-4E51-9DB5-71D163687642}">
      <text>
        <t xml:space="preserve">[Threaded comment]
Your version of Excel allows you to read this threaded comment; however, any edits to it will get removed if the file is opened in a newer version of Excel. Learn more: https://go.microsoft.com/fwlink/?linkid=870924
Comment:
    Operating经营性经常事件 </t>
      </text>
    </comment>
    <comment ref="F5" authorId="1" shapeId="0" xr:uid="{60652D12-341E-458F-9404-85AE92F8BD45}">
      <text>
        <t>[Threaded comment]
Your version of Excel allows you to read this threaded comment; however, any edits to it will get removed if the file is opened in a newer version of Excel. Learn more: https://go.microsoft.com/fwlink/?linkid=870924
Comment:
    Receivables and Payables 应付 应收</t>
      </text>
    </comment>
    <comment ref="J5" authorId="2" shapeId="0" xr:uid="{5D615C4E-EBE7-4C5B-AFF7-7BFD865942AD}">
      <text>
        <t>[Threaded comment]
Your version of Excel allows you to read this threaded comment; however, any edits to it will get removed if the file is opened in a newer version of Excel. Learn more: https://go.microsoft.com/fwlink/?linkid=870924
Comment:
    资产处置损益</t>
      </text>
    </comment>
    <comment ref="J6" authorId="3" shapeId="0" xr:uid="{1AB846D4-C243-49DD-BFCE-0F152034E39C}">
      <text>
        <t>[Threaded comment]
Your version of Excel allows you to read this threaded comment; however, any edits to it will get removed if the file is opened in a newer version of Excel. Learn more: https://go.microsoft.com/fwlink/?linkid=870924
Comment:
    自主活动损益 （类似 诗与歌 这样的活动）</t>
      </text>
    </comment>
    <comment ref="F10" authorId="4" shapeId="0" xr:uid="{AF69EBA6-49A2-4E66-B2B5-ADDCB203CBBC}">
      <text>
        <t>[Threaded comment]
Your version of Excel allows you to read this threaded comment; however, any edits to it will get removed if the file is opened in a newer version of Excel. Learn more: https://go.microsoft.com/fwlink/?linkid=870924
Comment:
    Inventories</t>
      </text>
    </comment>
    <comment ref="F18" authorId="5" shapeId="0" xr:uid="{89049742-F5D2-410B-B198-12AF77C32560}">
      <text>
        <t>[Threaded comment]
Your version of Excel allows you to read this threaded comment; however, any edits to it will get removed if the file is opened in a newer version of Excel. Learn more: https://go.microsoft.com/fwlink/?linkid=870924
Comment:
    Reserve 准备金</t>
      </text>
    </comment>
    <comment ref="E19" authorId="6" shapeId="0" xr:uid="{8D1C1E60-2EA0-4CC8-8F9F-A8A7E37ADBA1}">
      <text>
        <t>[Threaded comment]
Your version of Excel allows you to read this threaded comment; however, any edits to it will get removed if the file is opened in a newer version of Excel. Learn more: https://go.microsoft.com/fwlink/?linkid=870924
Comment:
    Additional Paid-In Capital 
Reply:
    差不多是 资本公积</t>
      </text>
    </comment>
  </commentList>
</comments>
</file>

<file path=xl/sharedStrings.xml><?xml version="1.0" encoding="utf-8"?>
<sst xmlns="http://schemas.openxmlformats.org/spreadsheetml/2006/main" count="1092" uniqueCount="323">
  <si>
    <t>Const</t>
  </si>
  <si>
    <t>default str</t>
  </si>
  <si>
    <t>*缺省</t>
  </si>
  <si>
    <t>…</t>
  </si>
  <si>
    <t>Func. CCY</t>
  </si>
  <si>
    <t>CNY</t>
  </si>
  <si>
    <t>*功能货币</t>
  </si>
  <si>
    <t>*起始日期</t>
  </si>
  <si>
    <t>Acct</t>
  </si>
  <si>
    <t>Lv2</t>
  </si>
  <si>
    <t>Lv1</t>
  </si>
  <si>
    <t>Lv0</t>
  </si>
  <si>
    <t>Bank</t>
  </si>
  <si>
    <t>Assets</t>
  </si>
  <si>
    <t>Phys.C</t>
  </si>
  <si>
    <t>Cap</t>
  </si>
  <si>
    <t>Common</t>
  </si>
  <si>
    <t>Equity</t>
  </si>
  <si>
    <t>RE</t>
  </si>
  <si>
    <t>Rsv</t>
  </si>
  <si>
    <t>Node</t>
  </si>
  <si>
    <t>Type</t>
  </si>
  <si>
    <t>Revenue</t>
  </si>
  <si>
    <t>Cost</t>
  </si>
  <si>
    <t>Expense</t>
  </si>
  <si>
    <t>Other</t>
  </si>
  <si>
    <t>Op</t>
  </si>
  <si>
    <t>Non-Op</t>
  </si>
  <si>
    <t>Id</t>
  </si>
  <si>
    <t>Shuijie</t>
  </si>
  <si>
    <t>MY</t>
  </si>
  <si>
    <t>明月村</t>
  </si>
  <si>
    <t>Note</t>
  </si>
  <si>
    <t>Brand</t>
  </si>
  <si>
    <t>品牌</t>
  </si>
  <si>
    <t>GM</t>
  </si>
  <si>
    <t>综合管理</t>
  </si>
  <si>
    <t>Ctrl</t>
  </si>
  <si>
    <t>Date</t>
  </si>
  <si>
    <t>Division</t>
  </si>
  <si>
    <t>Action</t>
  </si>
  <si>
    <t>IncNode</t>
  </si>
  <si>
    <t>TrxId</t>
  </si>
  <si>
    <t>TrxDate</t>
  </si>
  <si>
    <t>Item</t>
  </si>
  <si>
    <t>Bal</t>
  </si>
  <si>
    <t>NetBal</t>
  </si>
  <si>
    <t>IsValid</t>
  </si>
  <si>
    <t>BSLv0</t>
  </si>
  <si>
    <t>BSLv1</t>
  </si>
  <si>
    <t>BSLv2</t>
  </si>
  <si>
    <t>IncType</t>
  </si>
  <si>
    <t>JH.0682</t>
  </si>
  <si>
    <t>Name</t>
  </si>
  <si>
    <t>代持</t>
  </si>
  <si>
    <t>远家花园</t>
  </si>
  <si>
    <t>淘宝</t>
  </si>
  <si>
    <t>远家花园高新分公司</t>
  </si>
  <si>
    <t>水街活动</t>
  </si>
  <si>
    <t>喜家文化</t>
  </si>
  <si>
    <t>水街服装</t>
  </si>
  <si>
    <t>米小易</t>
  </si>
  <si>
    <t>水街餐饮</t>
  </si>
  <si>
    <t>远家文化</t>
  </si>
  <si>
    <t>明月村客房餐饮</t>
  </si>
  <si>
    <t>远家文化蒲江分公司</t>
  </si>
  <si>
    <t>明月村小程序</t>
  </si>
  <si>
    <t>榆乐</t>
  </si>
  <si>
    <t>已收购，为远家花园提供成本发票</t>
  </si>
  <si>
    <t>染匠文化</t>
  </si>
  <si>
    <t>驻色染色</t>
  </si>
  <si>
    <t>桑木</t>
  </si>
  <si>
    <t>合作实体收款；为远家花园提供成本发票</t>
  </si>
  <si>
    <t>张小喜</t>
  </si>
  <si>
    <t>明月村服装</t>
  </si>
  <si>
    <t>小月号</t>
  </si>
  <si>
    <t>明月村杂项</t>
  </si>
  <si>
    <t>创业园杂项</t>
  </si>
  <si>
    <t>郑术燕</t>
  </si>
  <si>
    <t>明月村采购</t>
  </si>
  <si>
    <t>法人</t>
  </si>
  <si>
    <t>分支机构</t>
  </si>
  <si>
    <t>HuaYuan</t>
  </si>
  <si>
    <t>XiJia</t>
  </si>
  <si>
    <t>MiXiaoYi</t>
  </si>
  <si>
    <t>YuanWH</t>
  </si>
  <si>
    <t>YuLe</t>
  </si>
  <si>
    <t>SangMu</t>
  </si>
  <si>
    <t>XiaoXi</t>
  </si>
  <si>
    <t>XiaoYue</t>
  </si>
  <si>
    <t>ZhengSY</t>
  </si>
  <si>
    <t>JH.7471</t>
  </si>
  <si>
    <t>JT.7708</t>
  </si>
  <si>
    <t>JH.2521</t>
  </si>
  <si>
    <t>创业园-琦</t>
  </si>
  <si>
    <t>CYY-Qi</t>
  </si>
  <si>
    <t>JH.1465</t>
  </si>
  <si>
    <t>JH.2131</t>
  </si>
  <si>
    <t>Casher.hd</t>
  </si>
  <si>
    <t>Casher.fz</t>
  </si>
  <si>
    <t>JH.4559</t>
  </si>
  <si>
    <t>Casher.cy</t>
  </si>
  <si>
    <t>NH.3284</t>
  </si>
  <si>
    <t>NS.3524</t>
  </si>
  <si>
    <t>JH.2761</t>
  </si>
  <si>
    <t>WeC</t>
  </si>
  <si>
    <t>NH.5074</t>
  </si>
  <si>
    <t>NS.9539</t>
  </si>
  <si>
    <t>huotang</t>
  </si>
  <si>
    <t>HY-GaoX</t>
  </si>
  <si>
    <t>YWH-PuJ</t>
  </si>
  <si>
    <t>JH.0754</t>
  </si>
  <si>
    <t>JH.8952</t>
  </si>
  <si>
    <t>Sum of Bal</t>
  </si>
  <si>
    <t>RanJ</t>
  </si>
  <si>
    <t>Rec-Pay</t>
  </si>
  <si>
    <t>AR</t>
  </si>
  <si>
    <t>AP</t>
  </si>
  <si>
    <t>Order</t>
  </si>
  <si>
    <t>Curr</t>
  </si>
  <si>
    <t>A</t>
  </si>
  <si>
    <t>Prep-Sub</t>
  </si>
  <si>
    <t>Invtr</t>
  </si>
  <si>
    <t>PP&amp;E</t>
  </si>
  <si>
    <t>Property</t>
  </si>
  <si>
    <t>Vehicle</t>
    <phoneticPr fontId="5" type="noConversion"/>
  </si>
  <si>
    <t>Liability</t>
  </si>
  <si>
    <t>LC</t>
  </si>
  <si>
    <t xml:space="preserve"> </t>
    <phoneticPr fontId="5" type="noConversion"/>
  </si>
  <si>
    <t>accuInc</t>
    <phoneticPr fontId="5" type="noConversion"/>
  </si>
  <si>
    <t>ToTax</t>
  </si>
  <si>
    <t>ToTax</t>
    <phoneticPr fontId="5" type="noConversion"/>
  </si>
  <si>
    <t>Rec-Pay</t>
    <phoneticPr fontId="5" type="noConversion"/>
  </si>
  <si>
    <t>Prep-Sub</t>
    <phoneticPr fontId="5" type="noConversion"/>
  </si>
  <si>
    <t>ToOther</t>
  </si>
  <si>
    <t>ToOther</t>
    <phoneticPr fontId="5" type="noConversion"/>
  </si>
  <si>
    <t>Op</t>
    <phoneticPr fontId="5" type="noConversion"/>
  </si>
  <si>
    <t>Gain-Loss</t>
    <phoneticPr fontId="5" type="noConversion"/>
  </si>
  <si>
    <t>水街店</t>
    <phoneticPr fontId="5" type="noConversion"/>
  </si>
  <si>
    <t>Casher.myc</t>
    <phoneticPr fontId="5" type="noConversion"/>
  </si>
  <si>
    <t>货款</t>
    <phoneticPr fontId="5" type="noConversion"/>
  </si>
  <si>
    <t>个人社保</t>
  </si>
  <si>
    <t>平台</t>
  </si>
  <si>
    <t>保证金</t>
  </si>
  <si>
    <t>借款</t>
  </si>
  <si>
    <t>预付费用</t>
    <phoneticPr fontId="5" type="noConversion"/>
  </si>
  <si>
    <t>预付费用</t>
  </si>
  <si>
    <t>预付货款</t>
  </si>
  <si>
    <t>乐于斯</t>
    <phoneticPr fontId="5" type="noConversion"/>
  </si>
  <si>
    <t>低苦艾</t>
    <phoneticPr fontId="5" type="noConversion"/>
  </si>
  <si>
    <t>前期修建借款</t>
    <phoneticPr fontId="5" type="noConversion"/>
  </si>
  <si>
    <t>注册资本</t>
    <phoneticPr fontId="5" type="noConversion"/>
  </si>
  <si>
    <t>税金</t>
    <phoneticPr fontId="5" type="noConversion"/>
  </si>
  <si>
    <t>工资</t>
    <phoneticPr fontId="5" type="noConversion"/>
  </si>
  <si>
    <t>服饰</t>
  </si>
  <si>
    <t>服饰</t>
    <phoneticPr fontId="5" type="noConversion"/>
  </si>
  <si>
    <t>图书</t>
    <phoneticPr fontId="5" type="noConversion"/>
  </si>
  <si>
    <t>低耗</t>
    <phoneticPr fontId="5" type="noConversion"/>
  </si>
  <si>
    <t>Column Labels</t>
  </si>
  <si>
    <t>Row Labels</t>
  </si>
  <si>
    <t>Grand Total</t>
  </si>
  <si>
    <t>APIC</t>
  </si>
  <si>
    <t>Discretion</t>
  </si>
  <si>
    <t>perc</t>
  </si>
  <si>
    <t>Key</t>
  </si>
  <si>
    <t>银行</t>
  </si>
  <si>
    <t>物理现金</t>
  </si>
  <si>
    <t>订单</t>
  </si>
  <si>
    <t>当期存货</t>
  </si>
  <si>
    <t>Old</t>
  </si>
  <si>
    <t>房地产</t>
  </si>
  <si>
    <t>权益性投资</t>
  </si>
  <si>
    <t>Eq-Inv</t>
  </si>
  <si>
    <t>应付-税款</t>
  </si>
  <si>
    <t>应付-薪资</t>
  </si>
  <si>
    <t>应付-其他</t>
  </si>
  <si>
    <t>可分配利润</t>
  </si>
  <si>
    <t>原始资本</t>
  </si>
  <si>
    <t>额外投入</t>
  </si>
  <si>
    <t>Case</t>
  </si>
  <si>
    <t>BS-Acct</t>
  </si>
  <si>
    <t>BS-Lv2</t>
  </si>
  <si>
    <t>1.应收-应付</t>
  </si>
  <si>
    <t>2.预付-订阅</t>
  </si>
  <si>
    <t>3.库存占款</t>
  </si>
  <si>
    <t>5.硬件设施</t>
  </si>
  <si>
    <t>6.投资与长期负债</t>
  </si>
  <si>
    <t>X.资本</t>
  </si>
  <si>
    <t>Invest-LTD</t>
  </si>
  <si>
    <t>NameAcct</t>
  </si>
  <si>
    <t>NameBSLv2</t>
  </si>
  <si>
    <t>应收-一般</t>
  </si>
  <si>
    <t>应付-一般</t>
  </si>
  <si>
    <t>明月村-累计折旧</t>
  </si>
  <si>
    <t>水街-累计折旧</t>
  </si>
  <si>
    <t>NameVehicle</t>
  </si>
  <si>
    <t>ToEmp</t>
  </si>
  <si>
    <t>合作实体</t>
  </si>
  <si>
    <t>OnEmp</t>
  </si>
  <si>
    <t>水街员工</t>
  </si>
  <si>
    <t>员工预支</t>
  </si>
  <si>
    <t>Depo</t>
  </si>
  <si>
    <t>押金</t>
  </si>
  <si>
    <t>尾款-工程</t>
  </si>
  <si>
    <t>MemShip</t>
  </si>
  <si>
    <t>会员充值</t>
  </si>
  <si>
    <t>住房押金</t>
  </si>
  <si>
    <t>水街</t>
  </si>
  <si>
    <t>FrOther</t>
  </si>
  <si>
    <t>应收-其他</t>
  </si>
  <si>
    <t>明月村-土地</t>
  </si>
  <si>
    <t>明月村-建筑</t>
  </si>
  <si>
    <t>水街-建筑</t>
  </si>
  <si>
    <t>配平</t>
  </si>
  <si>
    <t>*资产-负债/权益</t>
  </si>
  <si>
    <t>资本</t>
  </si>
  <si>
    <t>已入库</t>
  </si>
  <si>
    <t>材料</t>
  </si>
  <si>
    <t>accuInc</t>
  </si>
  <si>
    <t>xxx</t>
  </si>
  <si>
    <t>营业额</t>
  </si>
  <si>
    <t>往期存货</t>
  </si>
  <si>
    <t>9.蓄水池</t>
  </si>
  <si>
    <t>2/3 meeting</t>
  </si>
  <si>
    <t>Tag</t>
  </si>
  <si>
    <t>估计原始库存价格</t>
  </si>
  <si>
    <t>deduct.Y25</t>
  </si>
  <si>
    <t>控制参数</t>
  </si>
  <si>
    <t>资本回报率</t>
  </si>
  <si>
    <t>总结:</t>
  </si>
  <si>
    <t>start</t>
  </si>
  <si>
    <t>prior</t>
  </si>
  <si>
    <t>*可调整，默认至 前账截止</t>
  </si>
  <si>
    <t>*前账截止</t>
  </si>
  <si>
    <t>净现金</t>
  </si>
  <si>
    <t>流动性</t>
  </si>
  <si>
    <t>业绩</t>
  </si>
  <si>
    <t>Cash alike</t>
  </si>
  <si>
    <t>0.现金及类似</t>
  </si>
  <si>
    <t>ScopeBS</t>
  </si>
  <si>
    <t>截止日期</t>
  </si>
  <si>
    <t>(All)</t>
  </si>
  <si>
    <t>应付</t>
  </si>
  <si>
    <t>当期库存</t>
  </si>
  <si>
    <t>*一般不低于200%</t>
  </si>
  <si>
    <t>*可以再增加多少库存</t>
  </si>
  <si>
    <t>库存倍数</t>
  </si>
  <si>
    <t>支付倍数</t>
  </si>
  <si>
    <t>In</t>
  </si>
  <si>
    <t>T000</t>
  </si>
  <si>
    <t>T000.1</t>
  </si>
  <si>
    <t>T000.2</t>
  </si>
  <si>
    <t>报销</t>
  </si>
  <si>
    <t>采购</t>
  </si>
  <si>
    <t>过账</t>
  </si>
  <si>
    <t>销售</t>
  </si>
  <si>
    <t>桑木 实际缴纳和前期计提有4分钱尾差</t>
  </si>
  <si>
    <t>桑木 低苦艾</t>
  </si>
  <si>
    <t>桑木 格物江南</t>
  </si>
  <si>
    <t>桑木 远家花园</t>
  </si>
  <si>
    <t>桑木 王洳琦</t>
  </si>
  <si>
    <t>结转</t>
  </si>
  <si>
    <t>年度结转； roll forward</t>
  </si>
  <si>
    <t>调整</t>
  </si>
  <si>
    <t>冲销</t>
  </si>
  <si>
    <t>往期库存：25占款 已抵扣</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</si>
  <si>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</si>
  <si>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</si>
  <si>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</si>
  <si>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</si>
  <si>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</si>
  <si>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</si>
  <si>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</si>
  <si>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</si>
  <si>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</si>
  <si>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</si>
  <si>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</si>
  <si>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</si>
  <si>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</si>
  <si>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</si>
  <si>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</si>
  <si>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</si>
  <si>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</si>
  <si>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</si>
  <si>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</si>
  <si>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</si>
  <si>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</si>
  <si>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</si>
  <si>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</si>
  <si>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</si>
  <si>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</si>
  <si>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</si>
  <si>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</si>
  <si>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</si>
  <si>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</si>
  <si>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个人所得税</t>
  </si>
  <si>
    <t>工资</t>
  </si>
  <si>
    <t>增值税</t>
  </si>
  <si>
    <t>入库</t>
  </si>
  <si>
    <t>哪一个订单</t>
  </si>
  <si>
    <t>settle</t>
  </si>
  <si>
    <t>备注 ： 用途</t>
  </si>
  <si>
    <t>订购</t>
  </si>
  <si>
    <t>支付</t>
  </si>
  <si>
    <t>Start</t>
  </si>
  <si>
    <t>End</t>
  </si>
  <si>
    <t>ScopeDebug</t>
  </si>
  <si>
    <t>curr</t>
  </si>
  <si>
    <t>*隐藏筛选：不包含end之后的内容</t>
  </si>
  <si>
    <t>Sum of NetBal</t>
  </si>
  <si>
    <t>NameDiv</t>
  </si>
  <si>
    <t>内控合规</t>
  </si>
  <si>
    <t>网店</t>
  </si>
  <si>
    <t>Online</t>
  </si>
  <si>
    <t>附加</t>
  </si>
  <si>
    <t>*pending</t>
  </si>
  <si>
    <t>所得税-企业</t>
  </si>
  <si>
    <t>所得税-个人</t>
  </si>
  <si>
    <t>附加税</t>
  </si>
  <si>
    <t>损益</t>
  </si>
  <si>
    <t>损益率</t>
  </si>
  <si>
    <t>薪酬-个税</t>
  </si>
  <si>
    <t>内部销售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</si>
</sst>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yy/m/d;@"/>
    <numFmt numFmtId="166" formatCode="0.00%_);[Red]\(0.00%\)"/>
  </numFmts>
  <fonts count="10">
    <font>
      <sz val="11"/>
      <color theme="1"/>
      <name val="Calibri"/>
      <family val="2"/>
      <scheme val="minor"/>
    </font>
    <font>
      <sz val="11"/>
      <color theme="1"/>
      <name val="Calibri"/>
      <family val="2"/>
      <scheme val="minor"/>
    </font>
    <font>
      <i/>
      <sz val="11"/>
      <color rgb="FF7F7F7F"/>
      <name val="Calibri"/>
      <family val="2"/>
      <scheme val="minor"/>
    </font>
    <font>
      <b/>
      <sz val="11"/>
      <color theme="1"/>
      <name val="Calibri"/>
      <family val="2"/>
      <scheme val="minor"/>
    </font>
    <font>
      <sz val="11"/>
      <color rgb="FF3F3F76"/>
      <name val="Calibri"/>
      <family val="2"/>
      <scheme val="minor"/>
    </font>
    <font>
      <sz val="9"/>
      <name val="Calibri"/>
      <family val="3"/>
      <charset val="134"/>
      <scheme val="minor"/>
    </font>
    <font>
      <sz val="11"/>
      <color rgb="FFFF0000"/>
      <name val="Calibri"/>
      <family val="3"/>
      <charset val="134"/>
      <scheme val="minor"/>
    </font>
    <font>
      <sz val="11"/>
      <name val="Calibri"/>
      <family val="3"/>
      <charset val="134"/>
      <scheme val="minor"/>
    </font>
    <font>
      <sz val="11"/>
      <color rgb="FF9C5700"/>
      <name val="Calibri"/>
      <family val="2"/>
      <scheme val="minor"/>
    </font>
    <font>
      <b/>
      <sz val="11"/>
      <color rgb="FF3F3F3F"/>
      <name val="Calibri"/>
      <family val="2"/>
      <scheme val="minor"/>
    </font>
  </fonts>
  <fills count="8">
    <fill>
      <patternFill patternType="none"/>
    </fill>
    <fill>
      <patternFill patternType="gray125"/>
    </fill>
    <fill>
      <patternFill patternType="solid">
        <fgColor rgb="FFFFFFCC"/>
      </patternFill>
    </fill>
    <fill>
      <patternFill patternType="solid">
        <fgColor theme="4" tint="0.39997558519241921"/>
        <bgColor indexed="65"/>
      </patternFill>
    </fill>
    <fill>
      <patternFill patternType="solid">
        <fgColor rgb="FFFFCC99"/>
      </patternFill>
    </fill>
    <fill>
      <patternFill patternType="solid">
        <fgColor theme="9" tint="0.59999389629810485"/>
        <bgColor indexed="64"/>
      </patternFill>
    </fill>
    <fill>
      <patternFill patternType="solid">
        <fgColor rgb="FFFFEB9C"/>
      </patternFill>
    </fill>
    <fill>
      <patternFill patternType="solid">
        <fgColor rgb="FFF2F2F2"/>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7F7F7F"/>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7">
    <xf numFmtId="0" fontId="0" fillId="0" borderId="0"/>
    <xf numFmtId="0" fontId="1" fillId="2" borderId="1" applyNumberFormat="0" applyFont="0" applyAlignment="0" applyProtection="0"/>
    <xf numFmtId="0" fontId="2" fillId="0" borderId="0" applyNumberFormat="0" applyFill="0" applyBorder="0" applyAlignment="0" applyProtection="0"/>
    <xf numFmtId="0" fontId="1" fillId="3" borderId="0" applyNumberFormat="0" applyBorder="0" applyAlignment="0" applyProtection="0"/>
    <xf numFmtId="0" fontId="4" fillId="4" borderId="2" applyNumberFormat="0" applyAlignment="0" applyProtection="0"/>
    <xf numFmtId="0" fontId="8" fillId="6" borderId="0" applyNumberFormat="0" applyBorder="0" applyAlignment="0" applyProtection="0"/>
    <xf numFmtId="0" fontId="9" fillId="7" borderId="4" applyNumberFormat="0" applyAlignment="0" applyProtection="0"/>
  </cellStyleXfs>
  <cellXfs count="43">
    <xf numFmtId="0" fontId="0" fillId="0" borderId="0" xfId="0"/>
    <xf numFmtId="0" fontId="3" fillId="3" borderId="0" xfId="3" applyFont="1"/>
    <xf numFmtId="0" fontId="2" fillId="0" borderId="0" xfId="2"/>
    <xf numFmtId="0" fontId="2" fillId="2" borderId="1" xfId="1" applyFont="1"/>
    <xf numFmtId="0" fontId="0" fillId="2" borderId="1" xfId="1" applyFont="1"/>
    <xf numFmtId="0" fontId="0" fillId="0" borderId="0" xfId="0" applyAlignment="1">
      <alignment horizontal="center"/>
    </xf>
    <xf numFmtId="164" fontId="0" fillId="0" borderId="0" xfId="0" applyNumberFormat="1"/>
    <xf numFmtId="164" fontId="0" fillId="2" borderId="1" xfId="1" applyNumberFormat="1" applyFont="1"/>
    <xf numFmtId="40" fontId="0" fillId="0" borderId="0" xfId="0" applyNumberFormat="1"/>
    <xf numFmtId="38" fontId="0" fillId="0" borderId="0" xfId="0" applyNumberFormat="1"/>
    <xf numFmtId="0" fontId="4" fillId="4" borderId="2" xfId="4"/>
    <xf numFmtId="0" fontId="0" fillId="2" borderId="3" xfId="1" applyFont="1" applyBorder="1"/>
    <xf numFmtId="0" fontId="0" fillId="0" borderId="0" xfId="0" pivotButton="1"/>
    <xf numFmtId="0" fontId="0" fillId="0" borderId="0" xfId="0" pivotButton="1" applyAlignment="1">
      <alignment horizontal="center"/>
    </xf>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0" xfId="0" applyAlignment="1">
      <alignment horizontal="center" vertical="center" wrapText="1"/>
    </xf>
    <xf numFmtId="0" fontId="0" fillId="0" borderId="0" xfId="0" applyAlignment="1">
      <alignment horizontal="left" indent="2"/>
    </xf>
    <xf numFmtId="0" fontId="6" fillId="0" borderId="0" xfId="0" applyFont="1"/>
    <xf numFmtId="0" fontId="7" fillId="0" borderId="0" xfId="0" applyFont="1"/>
    <xf numFmtId="40" fontId="4" fillId="5" borderId="2" xfId="4" applyNumberFormat="1" applyFill="1"/>
    <xf numFmtId="165" fontId="0" fillId="0" borderId="0" xfId="0" applyNumberFormat="1" applyAlignment="1">
      <alignment horizontal="center"/>
    </xf>
    <xf numFmtId="165" fontId="0" fillId="0" borderId="0" xfId="0" applyNumberFormat="1"/>
    <xf numFmtId="0" fontId="3" fillId="0" borderId="0" xfId="0" applyFont="1"/>
    <xf numFmtId="38" fontId="0" fillId="2" borderId="1" xfId="1" applyNumberFormat="1" applyFont="1"/>
    <xf numFmtId="38" fontId="9" fillId="7" borderId="4" xfId="6" applyNumberFormat="1"/>
    <xf numFmtId="0" fontId="3" fillId="0" borderId="0" xfId="0" applyFont="1" applyAlignment="1">
      <alignment horizontal="center"/>
    </xf>
    <xf numFmtId="164" fontId="9" fillId="7" borderId="4" xfId="6" applyNumberFormat="1"/>
    <xf numFmtId="0" fontId="2" fillId="0" borderId="0" xfId="2" applyAlignment="1">
      <alignment horizontal="center"/>
    </xf>
    <xf numFmtId="164" fontId="4" fillId="4" borderId="2" xfId="4" applyNumberFormat="1"/>
    <xf numFmtId="0" fontId="2" fillId="0" borderId="0" xfId="2" applyFill="1" applyBorder="1"/>
    <xf numFmtId="0" fontId="2" fillId="0" borderId="0" xfId="2" applyAlignment="1">
      <alignment horizontal="right"/>
    </xf>
    <xf numFmtId="166" fontId="2" fillId="0" borderId="0" xfId="2" applyNumberFormat="1"/>
    <xf numFmtId="40" fontId="2" fillId="0" borderId="0" xfId="2" applyNumberFormat="1"/>
    <xf numFmtId="0" fontId="2" fillId="0" borderId="0" xfId="2" applyFill="1" applyBorder="1" applyAlignment="1">
      <alignment horizontal="right"/>
    </xf>
    <xf numFmtId="0" fontId="8" fillId="6" borderId="0" xfId="5"/>
    <xf numFmtId="164" fontId="8" fillId="6" borderId="0" xfId="5" applyNumberFormat="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left" indent="3"/>
    </xf>
    <xf numFmtId="0" fontId="4" fillId="4" borderId="2" xfId="4" applyBorder="1"/>
    <xf numFmtId="0" fontId="0" fillId="0" borderId="0" xfId="0" applyNumberFormat="1"/>
  </cellXfs>
  <cellStyles count="7">
    <cellStyle name="60% - Accent1" xfId="3" builtinId="32"/>
    <cellStyle name="Explanatory Text" xfId="2" builtinId="53"/>
    <cellStyle name="Input" xfId="4" builtinId="20"/>
    <cellStyle name="Neutral" xfId="5" builtinId="28"/>
    <cellStyle name="Normal" xfId="0" builtinId="0"/>
    <cellStyle name="Note" xfId="1" builtinId="10"/>
    <cellStyle name="Output" xfId="6" builtinId="21"/>
  </cellStyles>
  <dxfs count="2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6" formatCode="#,##0_);[Red]\(#,##0\)"/>
    </dxf>
    <dxf>
      <border outline="0">
        <left style="thin">
          <color rgb="FF7F7F7F"/>
        </left>
      </border>
    </dxf>
    <dxf>
      <numFmt numFmtId="8" formatCode="#,##0.00_);[Red]\(#,##0.00\)"/>
      <fill>
        <patternFill patternType="solid">
          <fgColor indexed="64"/>
          <bgColor theme="9" tint="0.59999389629810485"/>
        </patternFill>
      </fill>
    </dxf>
    <dxf>
      <border outline="0">
        <right style="thin">
          <color rgb="FF7F7F7F"/>
        </right>
      </border>
    </dxf>
    <dxf>
      <numFmt numFmtId="164" formatCode="mm/dd/yy"/>
    </dxf>
    <dxf>
      <numFmt numFmtId="164" formatCode="mm/dd/yy"/>
    </dxf>
    <dxf>
      <numFmt numFmtId="164" formatCode="mm/dd/yy"/>
    </dxf>
    <dxf>
      <numFmt numFmtId="164" formatCode="mm/dd/yy"/>
    </dxf>
    <dxf>
      <alignment horizontal="center" vertical="bottom" textRotation="0" wrapText="0" indent="0" justifyLastLine="0" shrinkToFit="0" readingOrder="0"/>
    </dxf>
    <dxf>
      <numFmt numFmtId="164" formatCode="mm/dd/yy"/>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0</xdr:col>
      <xdr:colOff>151894</xdr:colOff>
      <xdr:row>11</xdr:row>
      <xdr:rowOff>148506</xdr:rowOff>
    </xdr:from>
    <xdr:to>
      <xdr:col>3</xdr:col>
      <xdr:colOff>405726</xdr:colOff>
      <xdr:row>19</xdr:row>
      <xdr:rowOff>114133</xdr:rowOff>
    </xdr:to>
    <mc:AlternateContent xmlns:mc="http://schemas.openxmlformats.org/markup-compatibility/2006" xmlns:a14="http://schemas.microsoft.com/office/drawing/2010/main">
      <mc:Choice Requires="a14">
        <xdr:graphicFrame macro="">
          <xdr:nvGraphicFramePr>
            <xdr:cNvPr id="4" name="NameBSLv2">
              <a:extLst>
                <a:ext uri="{FF2B5EF4-FFF2-40B4-BE49-F238E27FC236}">
                  <a16:creationId xmlns:a16="http://schemas.microsoft.com/office/drawing/2014/main" id="{D6AC8857-7DEF-FD02-60E5-8BC3535AA032}"/>
                </a:ext>
              </a:extLst>
            </xdr:cNvPr>
            <xdr:cNvGraphicFramePr/>
          </xdr:nvGraphicFramePr>
          <xdr:xfrm>
            <a:off x="0" y="0"/>
            <a:ext cx="0" cy="0"/>
          </xdr:xfrm>
          <a:graphic>
            <a:graphicData uri="http://schemas.microsoft.com/office/drawing/2010/slicer">
              <sle:slicer xmlns:sle="http://schemas.microsoft.com/office/drawing/2010/slicer" name="NameBSLv2"/>
            </a:graphicData>
          </a:graphic>
        </xdr:graphicFrame>
      </mc:Choice>
      <mc:Fallback xmlns="">
        <xdr:sp macro="" textlink="">
          <xdr:nvSpPr>
            <xdr:cNvPr id="0" name=""/>
            <xdr:cNvSpPr>
              <a:spLocks noTextEdit="1"/>
            </xdr:cNvSpPr>
          </xdr:nvSpPr>
          <xdr:spPr>
            <a:xfrm>
              <a:off x="151894" y="2244006"/>
              <a:ext cx="3197057" cy="1489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138638</xdr:colOff>
      <xdr:row>20</xdr:row>
      <xdr:rowOff>149660</xdr:rowOff>
    </xdr:from>
    <xdr:to>
      <xdr:col>3</xdr:col>
      <xdr:colOff>399796</xdr:colOff>
      <xdr:row>31</xdr:row>
      <xdr:rowOff>6053</xdr:rowOff>
    </xdr:to>
    <mc:AlternateContent xmlns:mc="http://schemas.openxmlformats.org/markup-compatibility/2006" xmlns:a14="http://schemas.microsoft.com/office/drawing/2010/main">
      <mc:Choice Requires="a14">
        <xdr:graphicFrame macro="">
          <xdr:nvGraphicFramePr>
            <xdr:cNvPr id="5" name="NameVehicle">
              <a:extLst>
                <a:ext uri="{FF2B5EF4-FFF2-40B4-BE49-F238E27FC236}">
                  <a16:creationId xmlns:a16="http://schemas.microsoft.com/office/drawing/2014/main" id="{EFF01727-AAB0-B6F2-9F99-CF03DA7893B5}"/>
                </a:ext>
              </a:extLst>
            </xdr:cNvPr>
            <xdr:cNvGraphicFramePr/>
          </xdr:nvGraphicFramePr>
          <xdr:xfrm>
            <a:off x="0" y="0"/>
            <a:ext cx="0" cy="0"/>
          </xdr:xfrm>
          <a:graphic>
            <a:graphicData uri="http://schemas.microsoft.com/office/drawing/2010/slicer">
              <sle:slicer xmlns:sle="http://schemas.microsoft.com/office/drawing/2010/slicer" name="NameVehicle"/>
            </a:graphicData>
          </a:graphic>
        </xdr:graphicFrame>
      </mc:Choice>
      <mc:Fallback xmlns="">
        <xdr:sp macro="" textlink="">
          <xdr:nvSpPr>
            <xdr:cNvPr id="0" name=""/>
            <xdr:cNvSpPr>
              <a:spLocks noTextEdit="1"/>
            </xdr:cNvSpPr>
          </xdr:nvSpPr>
          <xdr:spPr>
            <a:xfrm>
              <a:off x="138638" y="3959660"/>
              <a:ext cx="3204383" cy="1951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二毛 邓" id="{D5AF6952-DFB4-4EB9-91BF-DCBDFE03949B}" userId="7a206d0ca3328fad" providerId="Windows Live"/>
  <person displayName="Yu Wang" id="{5762D9ED-58C9-4E54-8B3E-500022F66094}" userId="d45dba343eb289d6"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 Wang" refreshedDate="46058.637682638888" createdVersion="8" refreshedVersion="8" minRefreshableVersion="3" recordCount="145" xr:uid="{05F4C23F-DC46-422C-907A-0D04194B955D}">
  <cacheSource type="worksheet">
    <worksheetSource name="Jnl"/>
  </cacheSource>
  <cacheFields count="21">
    <cacheField name="TrxId" numFmtId="0">
      <sharedItems count="32">
        <s v="T000"/>
        <s v="T000.1"/>
        <s v="T000.2"/>
        <s v="T001"/>
        <s v="T002"/>
        <s v="T003"/>
        <s v="T004"/>
        <s v="T005"/>
        <s v="T006"/>
        <s v="T007"/>
        <s v="T008"/>
        <s v="T009"/>
        <s v="T010"/>
        <s v="T011"/>
        <s v="T012"/>
        <s v="T013"/>
        <s v="T014"/>
        <s v="T015"/>
        <s v="T016"/>
        <s v="T017"/>
        <s v="T018"/>
        <s v="T019"/>
        <s v="T020"/>
        <s v="T021"/>
        <s v="T022"/>
        <s v="T023"/>
        <s v="T024"/>
        <s v="T025"/>
        <s v="T026"/>
        <s v="T027"/>
        <s v="T028"/>
        <s v="T029"/>
      </sharedItems>
    </cacheField>
    <cacheField name="TrxDate" numFmtId="164">
      <sharedItems containsSemiMixedTypes="0" containsNonDate="0" containsDate="1" containsString="0" minDate="2025-12-31T00:00:00" maxDate="2026-01-31T00:00:00"/>
    </cacheField>
    <cacheField name="Division" numFmtId="164">
      <sharedItems/>
    </cacheField>
    <cacheField name="Action" numFmtId="164">
      <sharedItems count="18">
        <s v="结转"/>
        <s v="调整"/>
        <s v="冲销"/>
        <s v="报销"/>
        <s v="订购"/>
        <s v="入库"/>
        <s v="薪酬-个税"/>
        <s v="过账"/>
        <s v="支付"/>
        <s v="销售"/>
        <s v="内部销售"/>
        <s v="采购"/>
        <s v="附加"/>
        <s v="转账" u="1"/>
        <s v="工资" u="1"/>
        <s v="结算" u="1"/>
        <s v="个税" u="1"/>
        <s v="销售税费" u="1"/>
      </sharedItems>
    </cacheField>
    <cacheField name="Vehicle" numFmtId="164">
      <sharedItems/>
    </cacheField>
    <cacheField name="Acct" numFmtId="0">
      <sharedItems/>
    </cacheField>
    <cacheField name="Item" numFmtId="0">
      <sharedItems containsBlank="1" count="84">
        <s v="JH.0682"/>
        <s v="JH.7471"/>
        <s v="JT.7708"/>
        <s v="JH.2521"/>
        <s v="JH.1465"/>
        <s v="Casher.fz"/>
        <s v="JH.2131"/>
        <s v="Casher.hd"/>
        <s v="JH.4559"/>
        <s v="Casher.cy"/>
        <s v="NH.3284"/>
        <s v="NS.3524"/>
        <s v="JH.2761"/>
        <s v="WeC"/>
        <s v="NH.5074"/>
        <s v="NS.9539"/>
        <s v="huotang"/>
        <s v="Casher.myc"/>
        <s v="JH.0754"/>
        <s v="JH.8952"/>
        <s v="平台"/>
        <s v="个人社保"/>
        <s v="保证金"/>
        <s v="水街员工"/>
        <s v="借款"/>
        <s v="合作实体"/>
        <s v="预付费用"/>
        <s v="预付货款"/>
        <s v="低耗"/>
        <s v="图书"/>
        <s v="服饰"/>
        <s v="明月村-土地"/>
        <s v="明月村-建筑"/>
        <s v="明月村-累计折旧"/>
        <s v="水街-建筑"/>
        <s v="水街-累计折旧"/>
        <s v="乐于斯"/>
        <s v="低苦艾"/>
        <s v="货款"/>
        <s v="税金"/>
        <s v="工资"/>
        <s v="尾款-工程"/>
        <s v="所得税-个人"/>
        <s v="所得税-企业"/>
        <s v="增值税"/>
        <s v="附加税"/>
        <s v="水街"/>
        <s v="明月村"/>
        <s v="住房押金"/>
        <s v="前期修建借款"/>
        <s v="注册资本"/>
        <s v="accuInc"/>
        <s v="已入库"/>
        <s v="材料"/>
        <s v="xxx"/>
        <s v="deduct.Y25"/>
        <s v="个人所得税"/>
        <m u="1"/>
        <s v="货物入库" u="1"/>
        <s v="存货" u="1"/>
        <s v="VAT" u="1"/>
        <s v="企业所得税" u="1"/>
        <s v="税金及附加" u="1"/>
        <s v="税" u="1"/>
        <s v="CD.0214" u="1"/>
        <s v="明月村-基础投资" u="1"/>
        <s v="水街-建设投资" u="1"/>
        <s v="充值" u="1"/>
        <s v="预收账款" u="1"/>
        <s v="客户押金" u="1"/>
        <s v="销售预付" u="1"/>
        <s v="员工预支款" u="1"/>
        <s v="明月村.基础投资" u="1"/>
        <s v="SJ.Base" u="1"/>
        <s v="SJ.AccuD" u="1"/>
        <s v="MYC.Base" u="1"/>
        <s v="MYC.AccuD" u="1"/>
        <s v="?" u="1"/>
        <s v="TaoBao" u="1"/>
        <s v="zzz" u="1"/>
        <s v="Alipay" u="1"/>
        <s v="div.withheld" u="1"/>
        <s v="accuDiv" u="1"/>
        <s v="land.MYC" u="1"/>
      </sharedItems>
    </cacheField>
    <cacheField name="Bal" numFmtId="40">
      <sharedItems containsString="0" containsBlank="1" containsNumber="1" minValue="-10513383.689999999" maxValue="25036191"/>
    </cacheField>
    <cacheField name="IsValid" numFmtId="0">
      <sharedItems/>
    </cacheField>
    <cacheField name="NetBal" numFmtId="38">
      <sharedItems containsSemiMixedTypes="0" containsString="0" containsNumber="1" minValue="-25036191" maxValue="21129338.43"/>
    </cacheField>
    <cacheField name="BSLv0" numFmtId="0">
      <sharedItems count="3">
        <s v="A"/>
        <s v="LC"/>
        <e v="#N/A" u="1"/>
      </sharedItems>
    </cacheField>
    <cacheField name="BSLv1" numFmtId="0">
      <sharedItems/>
    </cacheField>
    <cacheField name="BSLv2" numFmtId="0">
      <sharedItems/>
    </cacheField>
    <cacheField name="IncNode" numFmtId="0">
      <sharedItems count="4">
        <s v="Other"/>
        <s v="Expense"/>
        <s v="Cost"/>
        <s v="Revenue"/>
      </sharedItems>
    </cacheField>
    <cacheField name="IncType" numFmtId="0">
      <sharedItems count="2">
        <s v="Non-Op"/>
        <s v="Op"/>
      </sharedItems>
    </cacheField>
    <cacheField name="NameBSLv2" numFmtId="0">
      <sharedItems count="13">
        <s v="0.现金及类似"/>
        <s v="1.应收-应付"/>
        <s v="2.预付-订阅"/>
        <s v="3.库存占款"/>
        <s v="5.硬件设施"/>
        <s v="6.投资与长期负债"/>
        <s v="X.资本"/>
        <s v="9.蓄水池"/>
        <s v="0.现金-预售" u="1"/>
        <s v="9.储备性权益" u="1"/>
        <s v="0.现金" u="1"/>
        <s v="0.待完成销售" u="1"/>
        <e v="#N/A" u="1"/>
      </sharedItems>
    </cacheField>
    <cacheField name="NameAcct" numFmtId="0">
      <sharedItems count="23">
        <s v="银行"/>
        <s v="物理现金"/>
        <s v="应收-一般"/>
        <s v="应收-其他"/>
        <s v="押金"/>
        <s v="员工预支"/>
        <s v="订单"/>
        <s v="当期存货"/>
        <s v="房地产"/>
        <s v="权益性投资"/>
        <s v="应付-一般"/>
        <s v="应付-税款"/>
        <s v="应付-薪资"/>
        <s v="应付-其他"/>
        <s v="会员充值"/>
        <s v="额外投入"/>
        <s v="原始资本"/>
        <s v="可分配利润"/>
        <s v="往期存货"/>
        <s v="往期存过" u="1"/>
        <e v="#N/A" u="1"/>
        <s v="应收账款-一般" u="1"/>
        <s v="应付账款-一般" u="1"/>
      </sharedItems>
    </cacheField>
    <cacheField name="NameVehicle" numFmtId="0">
      <sharedItems count="14">
        <s v="远家花园"/>
        <s v="创业园-琦"/>
        <s v="桑木"/>
        <s v="榆乐"/>
        <s v="喜家文化"/>
        <s v="远家花园高新分公司"/>
        <s v="米小易"/>
        <s v="远家文化"/>
        <s v="远家文化蒲江分公司"/>
        <s v="张小喜"/>
        <s v="小月号"/>
        <s v="郑术燕"/>
        <s v="染匠文化"/>
        <s v="创业园-晓" u="1"/>
      </sharedItems>
    </cacheField>
    <cacheField name="NameDiv" numFmtId="0">
      <sharedItems count="4">
        <s v="内控合规"/>
        <s v="综合管理"/>
        <s v="网店"/>
        <s v="主淘宝店" u="1"/>
      </sharedItems>
    </cacheField>
    <cacheField name="ScopeBS" numFmtId="0">
      <sharedItems count="3">
        <s v="In"/>
        <s v="Out"/>
        <s v="Up to" u="1"/>
      </sharedItems>
    </cacheField>
    <cacheField name="ScopeDebug" numFmtId="0">
      <sharedItems count="3">
        <s v="prior"/>
        <s v="curr"/>
        <s v="post" u="1"/>
      </sharedItems>
    </cacheField>
  </cacheFields>
  <extLst>
    <ext xmlns:x14="http://schemas.microsoft.com/office/spreadsheetml/2009/9/main" uri="{725AE2AE-9491-48be-B2B4-4EB974FC3084}">
      <x14:pivotCacheDefinition pivotCacheId="739966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d v="2025-12-31T00:00:00"/>
    <s v="Ctrl"/>
    <x v="0"/>
    <s v="HuaYuan"/>
    <s v="Bank"/>
    <x v="0"/>
    <n v="1982899.24"/>
    <b v="1"/>
    <n v="1982899.24"/>
    <x v="0"/>
    <s v="Assets"/>
    <s v="Cash alike"/>
    <x v="0"/>
    <x v="0"/>
    <x v="0"/>
    <x v="0"/>
    <x v="0"/>
    <x v="0"/>
    <x v="0"/>
    <x v="0"/>
  </r>
  <r>
    <x v="0"/>
    <d v="2025-12-31T00:00:00"/>
    <s v="Ctrl"/>
    <x v="0"/>
    <s v="CYY-Qi"/>
    <s v="Bank"/>
    <x v="1"/>
    <n v="612335.77"/>
    <b v="1"/>
    <n v="612335.77"/>
    <x v="0"/>
    <s v="Assets"/>
    <s v="Cash alike"/>
    <x v="0"/>
    <x v="0"/>
    <x v="0"/>
    <x v="0"/>
    <x v="1"/>
    <x v="0"/>
    <x v="0"/>
    <x v="0"/>
  </r>
  <r>
    <x v="0"/>
    <d v="2025-12-31T00:00:00"/>
    <s v="Ctrl"/>
    <x v="0"/>
    <s v="SangMu"/>
    <s v="Bank"/>
    <x v="2"/>
    <n v="1597158.42"/>
    <b v="1"/>
    <n v="1597158.42"/>
    <x v="0"/>
    <s v="Assets"/>
    <s v="Cash alike"/>
    <x v="0"/>
    <x v="0"/>
    <x v="0"/>
    <x v="0"/>
    <x v="2"/>
    <x v="0"/>
    <x v="0"/>
    <x v="0"/>
  </r>
  <r>
    <x v="0"/>
    <d v="2025-12-31T00:00:00"/>
    <s v="Ctrl"/>
    <x v="0"/>
    <s v="YuLe"/>
    <s v="Bank"/>
    <x v="3"/>
    <n v="2759122.91"/>
    <b v="1"/>
    <n v="2759122.91"/>
    <x v="0"/>
    <s v="Assets"/>
    <s v="Cash alike"/>
    <x v="0"/>
    <x v="0"/>
    <x v="0"/>
    <x v="0"/>
    <x v="3"/>
    <x v="0"/>
    <x v="0"/>
    <x v="0"/>
  </r>
  <r>
    <x v="0"/>
    <d v="2025-12-31T00:00:00"/>
    <s v="Ctrl"/>
    <x v="0"/>
    <s v="XiJia"/>
    <s v="Bank"/>
    <x v="4"/>
    <n v="838646.21"/>
    <b v="1"/>
    <n v="838646.21"/>
    <x v="0"/>
    <s v="Assets"/>
    <s v="Cash alike"/>
    <x v="0"/>
    <x v="0"/>
    <x v="0"/>
    <x v="0"/>
    <x v="4"/>
    <x v="0"/>
    <x v="0"/>
    <x v="0"/>
  </r>
  <r>
    <x v="0"/>
    <d v="2025-12-31T00:00:00"/>
    <s v="Ctrl"/>
    <x v="0"/>
    <s v="XiJia"/>
    <s v="Phys.C"/>
    <x v="5"/>
    <n v="25540.15"/>
    <b v="1"/>
    <n v="25540.15"/>
    <x v="0"/>
    <s v="Assets"/>
    <s v="Cash alike"/>
    <x v="0"/>
    <x v="0"/>
    <x v="0"/>
    <x v="1"/>
    <x v="4"/>
    <x v="0"/>
    <x v="0"/>
    <x v="0"/>
  </r>
  <r>
    <x v="0"/>
    <d v="2025-12-31T00:00:00"/>
    <s v="Ctrl"/>
    <x v="0"/>
    <s v="HY-GaoX"/>
    <s v="Bank"/>
    <x v="6"/>
    <n v="125030.24"/>
    <b v="1"/>
    <n v="125030.24"/>
    <x v="0"/>
    <s v="Assets"/>
    <s v="Cash alike"/>
    <x v="0"/>
    <x v="0"/>
    <x v="0"/>
    <x v="0"/>
    <x v="5"/>
    <x v="0"/>
    <x v="0"/>
    <x v="0"/>
  </r>
  <r>
    <x v="0"/>
    <d v="2025-12-31T00:00:00"/>
    <s v="Ctrl"/>
    <x v="0"/>
    <s v="XiJia"/>
    <s v="Phys.C"/>
    <x v="7"/>
    <n v="2000"/>
    <b v="1"/>
    <n v="2000"/>
    <x v="0"/>
    <s v="Assets"/>
    <s v="Cash alike"/>
    <x v="0"/>
    <x v="0"/>
    <x v="0"/>
    <x v="1"/>
    <x v="4"/>
    <x v="0"/>
    <x v="0"/>
    <x v="0"/>
  </r>
  <r>
    <x v="0"/>
    <d v="2025-12-31T00:00:00"/>
    <s v="Ctrl"/>
    <x v="0"/>
    <s v="MiXiaoYi"/>
    <s v="Bank"/>
    <x v="8"/>
    <n v="1012107.86"/>
    <b v="1"/>
    <n v="1012107.86"/>
    <x v="0"/>
    <s v="Assets"/>
    <s v="Cash alike"/>
    <x v="0"/>
    <x v="0"/>
    <x v="0"/>
    <x v="0"/>
    <x v="6"/>
    <x v="0"/>
    <x v="0"/>
    <x v="0"/>
  </r>
  <r>
    <x v="0"/>
    <d v="2025-12-31T00:00:00"/>
    <s v="Ctrl"/>
    <x v="0"/>
    <s v="XiJia"/>
    <s v="Phys.C"/>
    <x v="9"/>
    <n v="1304"/>
    <b v="1"/>
    <n v="1304"/>
    <x v="0"/>
    <s v="Assets"/>
    <s v="Cash alike"/>
    <x v="0"/>
    <x v="0"/>
    <x v="0"/>
    <x v="1"/>
    <x v="4"/>
    <x v="0"/>
    <x v="0"/>
    <x v="0"/>
  </r>
  <r>
    <x v="0"/>
    <d v="2025-12-31T00:00:00"/>
    <s v="Ctrl"/>
    <x v="0"/>
    <s v="YuanWH"/>
    <s v="Bank"/>
    <x v="10"/>
    <n v="174191.78"/>
    <b v="1"/>
    <n v="174191.78"/>
    <x v="0"/>
    <s v="Assets"/>
    <s v="Cash alike"/>
    <x v="0"/>
    <x v="0"/>
    <x v="0"/>
    <x v="0"/>
    <x v="7"/>
    <x v="0"/>
    <x v="0"/>
    <x v="0"/>
  </r>
  <r>
    <x v="0"/>
    <d v="2025-12-31T00:00:00"/>
    <s v="Ctrl"/>
    <x v="0"/>
    <s v="YWH-PuJ"/>
    <s v="Bank"/>
    <x v="11"/>
    <n v="21355.13"/>
    <b v="1"/>
    <n v="21355.13"/>
    <x v="0"/>
    <s v="Assets"/>
    <s v="Cash alike"/>
    <x v="0"/>
    <x v="0"/>
    <x v="0"/>
    <x v="0"/>
    <x v="8"/>
    <x v="0"/>
    <x v="0"/>
    <x v="0"/>
  </r>
  <r>
    <x v="0"/>
    <d v="2025-12-31T00:00:00"/>
    <s v="Ctrl"/>
    <x v="0"/>
    <s v="XiaoXi"/>
    <s v="Bank"/>
    <x v="12"/>
    <n v="143995.32"/>
    <b v="1"/>
    <n v="143995.32"/>
    <x v="0"/>
    <s v="Assets"/>
    <s v="Cash alike"/>
    <x v="0"/>
    <x v="0"/>
    <x v="0"/>
    <x v="0"/>
    <x v="9"/>
    <x v="0"/>
    <x v="0"/>
    <x v="0"/>
  </r>
  <r>
    <x v="0"/>
    <d v="2025-12-31T00:00:00"/>
    <s v="Ctrl"/>
    <x v="0"/>
    <s v="XiaoXi"/>
    <s v="Bank"/>
    <x v="13"/>
    <n v="435221.41"/>
    <b v="1"/>
    <n v="435221.41"/>
    <x v="0"/>
    <s v="Assets"/>
    <s v="Cash alike"/>
    <x v="0"/>
    <x v="0"/>
    <x v="0"/>
    <x v="0"/>
    <x v="9"/>
    <x v="0"/>
    <x v="0"/>
    <x v="0"/>
  </r>
  <r>
    <x v="0"/>
    <d v="2025-12-31T00:00:00"/>
    <s v="Ctrl"/>
    <x v="0"/>
    <s v="XiaoYue"/>
    <s v="Bank"/>
    <x v="13"/>
    <n v="12977.6"/>
    <b v="1"/>
    <n v="12977.6"/>
    <x v="0"/>
    <s v="Assets"/>
    <s v="Cash alike"/>
    <x v="0"/>
    <x v="0"/>
    <x v="0"/>
    <x v="0"/>
    <x v="10"/>
    <x v="0"/>
    <x v="0"/>
    <x v="0"/>
  </r>
  <r>
    <x v="0"/>
    <d v="2025-12-31T00:00:00"/>
    <s v="Ctrl"/>
    <x v="0"/>
    <s v="ZhengSY"/>
    <s v="Bank"/>
    <x v="14"/>
    <n v="30900.25"/>
    <b v="1"/>
    <n v="30900.25"/>
    <x v="0"/>
    <s v="Assets"/>
    <s v="Cash alike"/>
    <x v="0"/>
    <x v="0"/>
    <x v="0"/>
    <x v="0"/>
    <x v="11"/>
    <x v="0"/>
    <x v="0"/>
    <x v="0"/>
  </r>
  <r>
    <x v="0"/>
    <d v="2025-12-31T00:00:00"/>
    <s v="Ctrl"/>
    <x v="0"/>
    <s v="YuanWH"/>
    <s v="Bank"/>
    <x v="15"/>
    <n v="6917.42"/>
    <b v="1"/>
    <n v="6917.42"/>
    <x v="0"/>
    <s v="Assets"/>
    <s v="Cash alike"/>
    <x v="0"/>
    <x v="0"/>
    <x v="0"/>
    <x v="0"/>
    <x v="7"/>
    <x v="0"/>
    <x v="0"/>
    <x v="0"/>
  </r>
  <r>
    <x v="0"/>
    <d v="2025-12-31T00:00:00"/>
    <s v="Ctrl"/>
    <x v="0"/>
    <s v="YWH-PuJ"/>
    <s v="Bank"/>
    <x v="16"/>
    <n v="709.51"/>
    <b v="1"/>
    <n v="709.51"/>
    <x v="0"/>
    <s v="Assets"/>
    <s v="Cash alike"/>
    <x v="0"/>
    <x v="0"/>
    <x v="0"/>
    <x v="0"/>
    <x v="8"/>
    <x v="0"/>
    <x v="0"/>
    <x v="0"/>
  </r>
  <r>
    <x v="0"/>
    <d v="2025-12-31T00:00:00"/>
    <s v="Ctrl"/>
    <x v="0"/>
    <s v="YWH-PuJ"/>
    <s v="Phys.C"/>
    <x v="17"/>
    <n v="20812"/>
    <b v="1"/>
    <n v="20812"/>
    <x v="0"/>
    <s v="Assets"/>
    <s v="Cash alike"/>
    <x v="0"/>
    <x v="0"/>
    <x v="0"/>
    <x v="1"/>
    <x v="8"/>
    <x v="0"/>
    <x v="0"/>
    <x v="0"/>
  </r>
  <r>
    <x v="0"/>
    <d v="2025-12-31T00:00:00"/>
    <s v="Ctrl"/>
    <x v="0"/>
    <s v="RanJ"/>
    <s v="Bank"/>
    <x v="18"/>
    <n v="630993.46"/>
    <b v="1"/>
    <n v="630993.46"/>
    <x v="0"/>
    <s v="Assets"/>
    <s v="Cash alike"/>
    <x v="0"/>
    <x v="0"/>
    <x v="0"/>
    <x v="0"/>
    <x v="12"/>
    <x v="0"/>
    <x v="0"/>
    <x v="0"/>
  </r>
  <r>
    <x v="0"/>
    <d v="2025-12-31T00:00:00"/>
    <s v="Ctrl"/>
    <x v="0"/>
    <s v="RanJ"/>
    <s v="Bank"/>
    <x v="19"/>
    <n v="20124.45"/>
    <b v="1"/>
    <n v="20124.45"/>
    <x v="0"/>
    <s v="Assets"/>
    <s v="Cash alike"/>
    <x v="0"/>
    <x v="0"/>
    <x v="0"/>
    <x v="0"/>
    <x v="12"/>
    <x v="0"/>
    <x v="0"/>
    <x v="0"/>
  </r>
  <r>
    <x v="0"/>
    <d v="2025-12-31T00:00:00"/>
    <s v="Ctrl"/>
    <x v="0"/>
    <s v="XiJia"/>
    <s v="AR"/>
    <x v="20"/>
    <n v="18526.13"/>
    <b v="1"/>
    <n v="18526.13"/>
    <x v="0"/>
    <s v="Assets"/>
    <s v="Rec-Pay"/>
    <x v="0"/>
    <x v="0"/>
    <x v="1"/>
    <x v="2"/>
    <x v="4"/>
    <x v="0"/>
    <x v="0"/>
    <x v="0"/>
  </r>
  <r>
    <x v="0"/>
    <d v="2025-12-31T00:00:00"/>
    <s v="Ctrl"/>
    <x v="0"/>
    <s v="XiJia"/>
    <s v="FrOther"/>
    <x v="21"/>
    <n v="2385.75"/>
    <b v="1"/>
    <n v="2385.75"/>
    <x v="0"/>
    <s v="Assets"/>
    <s v="Rec-Pay"/>
    <x v="0"/>
    <x v="0"/>
    <x v="1"/>
    <x v="3"/>
    <x v="4"/>
    <x v="0"/>
    <x v="0"/>
    <x v="0"/>
  </r>
  <r>
    <x v="0"/>
    <d v="2025-12-31T00:00:00"/>
    <s v="Ctrl"/>
    <x v="0"/>
    <s v="XiJia"/>
    <s v="Depo"/>
    <x v="22"/>
    <n v="100000"/>
    <b v="1"/>
    <n v="100000"/>
    <x v="0"/>
    <s v="Assets"/>
    <s v="Prep-Sub"/>
    <x v="0"/>
    <x v="0"/>
    <x v="2"/>
    <x v="4"/>
    <x v="4"/>
    <x v="0"/>
    <x v="0"/>
    <x v="0"/>
  </r>
  <r>
    <x v="0"/>
    <d v="2025-12-31T00:00:00"/>
    <s v="Ctrl"/>
    <x v="0"/>
    <s v="HuaYuan"/>
    <s v="AR"/>
    <x v="20"/>
    <n v="289043.94"/>
    <b v="1"/>
    <n v="289043.94"/>
    <x v="0"/>
    <s v="Assets"/>
    <s v="Rec-Pay"/>
    <x v="0"/>
    <x v="0"/>
    <x v="1"/>
    <x v="2"/>
    <x v="0"/>
    <x v="0"/>
    <x v="0"/>
    <x v="0"/>
  </r>
  <r>
    <x v="0"/>
    <d v="2025-12-31T00:00:00"/>
    <s v="Ctrl"/>
    <x v="0"/>
    <s v="HuaYuan"/>
    <s v="FrOther"/>
    <x v="21"/>
    <n v="24591.75"/>
    <b v="1"/>
    <n v="24591.75"/>
    <x v="0"/>
    <s v="Assets"/>
    <s v="Rec-Pay"/>
    <x v="0"/>
    <x v="0"/>
    <x v="1"/>
    <x v="3"/>
    <x v="0"/>
    <x v="0"/>
    <x v="0"/>
    <x v="0"/>
  </r>
  <r>
    <x v="0"/>
    <d v="2025-12-31T00:00:00"/>
    <s v="Ctrl"/>
    <x v="0"/>
    <s v="HuaYuan"/>
    <s v="Depo"/>
    <x v="22"/>
    <n v="66888.95"/>
    <b v="1"/>
    <n v="66888.95"/>
    <x v="0"/>
    <s v="Assets"/>
    <s v="Prep-Sub"/>
    <x v="0"/>
    <x v="0"/>
    <x v="2"/>
    <x v="4"/>
    <x v="0"/>
    <x v="0"/>
    <x v="0"/>
    <x v="0"/>
  </r>
  <r>
    <x v="0"/>
    <d v="2025-12-31T00:00:00"/>
    <s v="Ctrl"/>
    <x v="0"/>
    <s v="HY-GaoX"/>
    <s v="AR"/>
    <x v="20"/>
    <n v="4640.3"/>
    <b v="1"/>
    <n v="4640.3"/>
    <x v="0"/>
    <s v="Assets"/>
    <s v="Rec-Pay"/>
    <x v="0"/>
    <x v="0"/>
    <x v="1"/>
    <x v="2"/>
    <x v="5"/>
    <x v="0"/>
    <x v="0"/>
    <x v="0"/>
  </r>
  <r>
    <x v="0"/>
    <d v="2025-12-31T00:00:00"/>
    <s v="Ctrl"/>
    <x v="0"/>
    <s v="HY-GaoX"/>
    <s v="FrOther"/>
    <x v="21"/>
    <n v="1474.3"/>
    <b v="1"/>
    <n v="1474.3"/>
    <x v="0"/>
    <s v="Assets"/>
    <s v="Rec-Pay"/>
    <x v="0"/>
    <x v="0"/>
    <x v="1"/>
    <x v="3"/>
    <x v="5"/>
    <x v="0"/>
    <x v="0"/>
    <x v="0"/>
  </r>
  <r>
    <x v="0"/>
    <d v="2025-12-31T00:00:00"/>
    <s v="Ctrl"/>
    <x v="0"/>
    <s v="RanJ"/>
    <s v="FrOther"/>
    <x v="21"/>
    <n v="3340.05"/>
    <b v="1"/>
    <n v="3340.05"/>
    <x v="0"/>
    <s v="Assets"/>
    <s v="Rec-Pay"/>
    <x v="0"/>
    <x v="0"/>
    <x v="1"/>
    <x v="3"/>
    <x v="12"/>
    <x v="0"/>
    <x v="0"/>
    <x v="0"/>
  </r>
  <r>
    <x v="0"/>
    <d v="2025-12-31T00:00:00"/>
    <s v="Ctrl"/>
    <x v="0"/>
    <s v="YuLe"/>
    <s v="FrOther"/>
    <x v="21"/>
    <n v="14294.35"/>
    <b v="1"/>
    <n v="14294.35"/>
    <x v="0"/>
    <s v="Assets"/>
    <s v="Rec-Pay"/>
    <x v="0"/>
    <x v="0"/>
    <x v="1"/>
    <x v="3"/>
    <x v="3"/>
    <x v="0"/>
    <x v="0"/>
    <x v="0"/>
  </r>
  <r>
    <x v="0"/>
    <d v="2025-12-31T00:00:00"/>
    <s v="Ctrl"/>
    <x v="0"/>
    <s v="SangMu"/>
    <s v="FrOther"/>
    <x v="21"/>
    <n v="1431.45"/>
    <b v="1"/>
    <n v="1431.45"/>
    <x v="0"/>
    <s v="Assets"/>
    <s v="Rec-Pay"/>
    <x v="0"/>
    <x v="0"/>
    <x v="1"/>
    <x v="3"/>
    <x v="2"/>
    <x v="0"/>
    <x v="0"/>
    <x v="0"/>
  </r>
  <r>
    <x v="0"/>
    <d v="2025-12-31T00:00:00"/>
    <s v="Ctrl"/>
    <x v="0"/>
    <s v="MiXiaoYi"/>
    <s v="FrOther"/>
    <x v="21"/>
    <n v="11451.6"/>
    <b v="1"/>
    <n v="11451.6"/>
    <x v="0"/>
    <s v="Assets"/>
    <s v="Rec-Pay"/>
    <x v="0"/>
    <x v="0"/>
    <x v="1"/>
    <x v="3"/>
    <x v="6"/>
    <x v="0"/>
    <x v="0"/>
    <x v="0"/>
  </r>
  <r>
    <x v="0"/>
    <d v="2025-12-31T00:00:00"/>
    <s v="Ctrl"/>
    <x v="0"/>
    <s v="MiXiaoYi"/>
    <s v="Depo"/>
    <x v="22"/>
    <n v="4000"/>
    <b v="1"/>
    <n v="4000"/>
    <x v="0"/>
    <s v="Assets"/>
    <s v="Prep-Sub"/>
    <x v="0"/>
    <x v="0"/>
    <x v="2"/>
    <x v="4"/>
    <x v="6"/>
    <x v="0"/>
    <x v="0"/>
    <x v="0"/>
  </r>
  <r>
    <x v="0"/>
    <d v="2025-12-31T00:00:00"/>
    <s v="Ctrl"/>
    <x v="0"/>
    <s v="MiXiaoYi"/>
    <s v="AR"/>
    <x v="20"/>
    <n v="12892.74"/>
    <b v="1"/>
    <n v="12892.74"/>
    <x v="0"/>
    <s v="Assets"/>
    <s v="Rec-Pay"/>
    <x v="0"/>
    <x v="0"/>
    <x v="1"/>
    <x v="2"/>
    <x v="6"/>
    <x v="0"/>
    <x v="0"/>
    <x v="0"/>
  </r>
  <r>
    <x v="0"/>
    <d v="2025-12-31T00:00:00"/>
    <s v="Ctrl"/>
    <x v="0"/>
    <s v="MiXiaoYi"/>
    <s v="OnEmp"/>
    <x v="23"/>
    <n v="30000"/>
    <b v="1"/>
    <n v="30000"/>
    <x v="0"/>
    <s v="Assets"/>
    <s v="Prep-Sub"/>
    <x v="0"/>
    <x v="0"/>
    <x v="2"/>
    <x v="5"/>
    <x v="6"/>
    <x v="0"/>
    <x v="0"/>
    <x v="0"/>
  </r>
  <r>
    <x v="0"/>
    <d v="2025-12-31T00:00:00"/>
    <s v="Ctrl"/>
    <x v="0"/>
    <s v="YuanWH"/>
    <s v="AR"/>
    <x v="20"/>
    <n v="240013.22999999998"/>
    <b v="1"/>
    <n v="240013.22999999998"/>
    <x v="0"/>
    <s v="Assets"/>
    <s v="Rec-Pay"/>
    <x v="0"/>
    <x v="0"/>
    <x v="1"/>
    <x v="2"/>
    <x v="7"/>
    <x v="0"/>
    <x v="0"/>
    <x v="0"/>
  </r>
  <r>
    <x v="0"/>
    <d v="2025-12-31T00:00:00"/>
    <s v="Ctrl"/>
    <x v="0"/>
    <s v="YuanWH"/>
    <s v="AR"/>
    <x v="24"/>
    <n v="150000"/>
    <b v="1"/>
    <n v="150000"/>
    <x v="0"/>
    <s v="Assets"/>
    <s v="Rec-Pay"/>
    <x v="0"/>
    <x v="0"/>
    <x v="1"/>
    <x v="2"/>
    <x v="7"/>
    <x v="0"/>
    <x v="0"/>
    <x v="0"/>
  </r>
  <r>
    <x v="0"/>
    <d v="2025-12-31T00:00:00"/>
    <s v="Ctrl"/>
    <x v="0"/>
    <s v="YuanWH"/>
    <s v="Depo"/>
    <x v="22"/>
    <n v="38389.65"/>
    <b v="1"/>
    <n v="38389.65"/>
    <x v="0"/>
    <s v="Assets"/>
    <s v="Prep-Sub"/>
    <x v="0"/>
    <x v="0"/>
    <x v="2"/>
    <x v="4"/>
    <x v="7"/>
    <x v="0"/>
    <x v="0"/>
    <x v="0"/>
  </r>
  <r>
    <x v="0"/>
    <d v="2025-12-31T00:00:00"/>
    <s v="Ctrl"/>
    <x v="0"/>
    <s v="CYY-Qi"/>
    <s v="AR"/>
    <x v="25"/>
    <n v="25551.3"/>
    <b v="1"/>
    <n v="25551.3"/>
    <x v="0"/>
    <s v="Assets"/>
    <s v="Rec-Pay"/>
    <x v="0"/>
    <x v="0"/>
    <x v="1"/>
    <x v="2"/>
    <x v="1"/>
    <x v="0"/>
    <x v="0"/>
    <x v="0"/>
  </r>
  <r>
    <x v="0"/>
    <d v="2025-12-31T00:00:00"/>
    <s v="Ctrl"/>
    <x v="0"/>
    <s v="XiJia"/>
    <s v="Order"/>
    <x v="26"/>
    <n v="130521.15"/>
    <b v="1"/>
    <n v="130521.15"/>
    <x v="0"/>
    <s v="Assets"/>
    <s v="Prep-Sub"/>
    <x v="0"/>
    <x v="0"/>
    <x v="2"/>
    <x v="6"/>
    <x v="4"/>
    <x v="0"/>
    <x v="0"/>
    <x v="0"/>
  </r>
  <r>
    <x v="0"/>
    <d v="2025-12-31T00:00:00"/>
    <s v="Ctrl"/>
    <x v="0"/>
    <s v="HuaYuan"/>
    <s v="Order"/>
    <x v="26"/>
    <n v="87645.27"/>
    <b v="1"/>
    <n v="87645.27"/>
    <x v="0"/>
    <s v="Assets"/>
    <s v="Prep-Sub"/>
    <x v="0"/>
    <x v="0"/>
    <x v="2"/>
    <x v="6"/>
    <x v="0"/>
    <x v="0"/>
    <x v="0"/>
    <x v="0"/>
  </r>
  <r>
    <x v="0"/>
    <d v="2025-12-31T00:00:00"/>
    <s v="Ctrl"/>
    <x v="0"/>
    <s v="SangMu"/>
    <s v="Order"/>
    <x v="27"/>
    <n v="99417.5"/>
    <b v="1"/>
    <n v="99417.5"/>
    <x v="0"/>
    <s v="Assets"/>
    <s v="Prep-Sub"/>
    <x v="0"/>
    <x v="0"/>
    <x v="2"/>
    <x v="6"/>
    <x v="2"/>
    <x v="0"/>
    <x v="0"/>
    <x v="0"/>
  </r>
  <r>
    <x v="0"/>
    <d v="2025-12-31T00:00:00"/>
    <s v="Ctrl"/>
    <x v="0"/>
    <s v="MiXiaoYi"/>
    <s v="Order"/>
    <x v="26"/>
    <n v="1225"/>
    <b v="1"/>
    <n v="1225"/>
    <x v="0"/>
    <s v="Assets"/>
    <s v="Prep-Sub"/>
    <x v="0"/>
    <x v="0"/>
    <x v="2"/>
    <x v="6"/>
    <x v="6"/>
    <x v="0"/>
    <x v="0"/>
    <x v="0"/>
  </r>
  <r>
    <x v="0"/>
    <d v="2025-12-31T00:00:00"/>
    <s v="Ctrl"/>
    <x v="0"/>
    <s v="YuanWH"/>
    <s v="Curr"/>
    <x v="28"/>
    <n v="192761.82"/>
    <b v="1"/>
    <n v="192761.82"/>
    <x v="0"/>
    <s v="Assets"/>
    <s v="Invtr"/>
    <x v="0"/>
    <x v="0"/>
    <x v="3"/>
    <x v="7"/>
    <x v="7"/>
    <x v="0"/>
    <x v="0"/>
    <x v="0"/>
  </r>
  <r>
    <x v="0"/>
    <d v="2025-12-31T00:00:00"/>
    <s v="Ctrl"/>
    <x v="0"/>
    <s v="MiXiaoYi"/>
    <s v="Curr"/>
    <x v="29"/>
    <n v="242182.81"/>
    <b v="1"/>
    <n v="242182.81"/>
    <x v="0"/>
    <s v="Assets"/>
    <s v="Invtr"/>
    <x v="0"/>
    <x v="0"/>
    <x v="3"/>
    <x v="7"/>
    <x v="6"/>
    <x v="0"/>
    <x v="0"/>
    <x v="0"/>
  </r>
  <r>
    <x v="0"/>
    <d v="2025-12-31T00:00:00"/>
    <s v="Ctrl"/>
    <x v="0"/>
    <s v="HuaYuan"/>
    <s v="Curr"/>
    <x v="30"/>
    <n v="10513383.689999999"/>
    <b v="1"/>
    <n v="10513383.689999999"/>
    <x v="0"/>
    <s v="Assets"/>
    <s v="Invtr"/>
    <x v="0"/>
    <x v="0"/>
    <x v="3"/>
    <x v="7"/>
    <x v="0"/>
    <x v="0"/>
    <x v="0"/>
    <x v="0"/>
  </r>
  <r>
    <x v="0"/>
    <d v="2025-12-31T00:00:00"/>
    <s v="Ctrl"/>
    <x v="0"/>
    <s v="YuanWH"/>
    <s v="Property"/>
    <x v="31"/>
    <n v="2949723.27"/>
    <b v="1"/>
    <n v="2949723.27"/>
    <x v="0"/>
    <s v="Assets"/>
    <s v="PP&amp;E"/>
    <x v="0"/>
    <x v="0"/>
    <x v="4"/>
    <x v="8"/>
    <x v="7"/>
    <x v="0"/>
    <x v="0"/>
    <x v="0"/>
  </r>
  <r>
    <x v="0"/>
    <d v="2025-12-31T00:00:00"/>
    <s v="Ctrl"/>
    <x v="0"/>
    <s v="YuanWH"/>
    <s v="Property"/>
    <x v="32"/>
    <n v="21129338.43"/>
    <b v="1"/>
    <n v="21129338.43"/>
    <x v="0"/>
    <s v="Assets"/>
    <s v="PP&amp;E"/>
    <x v="0"/>
    <x v="0"/>
    <x v="4"/>
    <x v="8"/>
    <x v="7"/>
    <x v="0"/>
    <x v="0"/>
    <x v="0"/>
  </r>
  <r>
    <x v="0"/>
    <d v="2025-12-31T00:00:00"/>
    <s v="Ctrl"/>
    <x v="0"/>
    <s v="YuanWH"/>
    <s v="Property"/>
    <x v="33"/>
    <n v="-5217130.03"/>
    <b v="1"/>
    <n v="-5217130.03"/>
    <x v="0"/>
    <s v="Assets"/>
    <s v="PP&amp;E"/>
    <x v="0"/>
    <x v="0"/>
    <x v="4"/>
    <x v="8"/>
    <x v="7"/>
    <x v="0"/>
    <x v="0"/>
    <x v="0"/>
  </r>
  <r>
    <x v="0"/>
    <d v="2025-12-31T00:00:00"/>
    <s v="Ctrl"/>
    <x v="0"/>
    <s v="HY-GaoX"/>
    <s v="Property"/>
    <x v="34"/>
    <n v="6467900"/>
    <b v="1"/>
    <n v="6467900"/>
    <x v="0"/>
    <s v="Assets"/>
    <s v="PP&amp;E"/>
    <x v="0"/>
    <x v="0"/>
    <x v="4"/>
    <x v="8"/>
    <x v="5"/>
    <x v="0"/>
    <x v="0"/>
    <x v="0"/>
  </r>
  <r>
    <x v="0"/>
    <d v="2025-12-31T00:00:00"/>
    <s v="Ctrl"/>
    <x v="0"/>
    <s v="HY-GaoX"/>
    <s v="Property"/>
    <x v="35"/>
    <n v="-1065602.3999999999"/>
    <b v="1"/>
    <n v="-1065602.3999999999"/>
    <x v="0"/>
    <s v="Assets"/>
    <s v="PP&amp;E"/>
    <x v="0"/>
    <x v="0"/>
    <x v="4"/>
    <x v="8"/>
    <x v="5"/>
    <x v="0"/>
    <x v="0"/>
    <x v="0"/>
  </r>
  <r>
    <x v="0"/>
    <d v="2025-12-31T00:00:00"/>
    <s v="Ctrl"/>
    <x v="0"/>
    <s v="XiJia"/>
    <s v="Eq-Inv"/>
    <x v="36"/>
    <n v="2000000"/>
    <b v="1"/>
    <n v="2000000"/>
    <x v="0"/>
    <s v="Assets"/>
    <s v="Invest-LTD"/>
    <x v="0"/>
    <x v="0"/>
    <x v="5"/>
    <x v="9"/>
    <x v="4"/>
    <x v="0"/>
    <x v="0"/>
    <x v="0"/>
  </r>
  <r>
    <x v="0"/>
    <d v="2025-12-31T00:00:00"/>
    <s v="Ctrl"/>
    <x v="0"/>
    <s v="XiJia"/>
    <s v="Eq-Inv"/>
    <x v="37"/>
    <n v="100000"/>
    <b v="1"/>
    <n v="100000"/>
    <x v="0"/>
    <s v="Assets"/>
    <s v="Invest-LTD"/>
    <x v="0"/>
    <x v="0"/>
    <x v="5"/>
    <x v="9"/>
    <x v="4"/>
    <x v="0"/>
    <x v="0"/>
    <x v="0"/>
  </r>
  <r>
    <x v="0"/>
    <d v="2025-12-31T00:00:00"/>
    <s v="Ctrl"/>
    <x v="0"/>
    <s v="XiJia"/>
    <s v="AP"/>
    <x v="38"/>
    <n v="6891.7999999999993"/>
    <b v="1"/>
    <n v="-6891.7999999999993"/>
    <x v="1"/>
    <s v="Liability"/>
    <s v="Rec-Pay"/>
    <x v="0"/>
    <x v="0"/>
    <x v="1"/>
    <x v="10"/>
    <x v="4"/>
    <x v="0"/>
    <x v="0"/>
    <x v="0"/>
  </r>
  <r>
    <x v="0"/>
    <d v="2025-12-31T00:00:00"/>
    <s v="Ctrl"/>
    <x v="0"/>
    <s v="XiJia"/>
    <s v="ToTax"/>
    <x v="39"/>
    <n v="30730.53"/>
    <b v="1"/>
    <n v="-30730.53"/>
    <x v="1"/>
    <s v="Liability"/>
    <s v="Rec-Pay"/>
    <x v="0"/>
    <x v="0"/>
    <x v="1"/>
    <x v="11"/>
    <x v="4"/>
    <x v="0"/>
    <x v="0"/>
    <x v="0"/>
  </r>
  <r>
    <x v="0"/>
    <d v="2025-12-31T00:00:00"/>
    <s v="Ctrl"/>
    <x v="0"/>
    <s v="XiJia"/>
    <s v="ToEmp"/>
    <x v="40"/>
    <n v="37380.69"/>
    <b v="1"/>
    <n v="-37380.69"/>
    <x v="1"/>
    <s v="Liability"/>
    <s v="Rec-Pay"/>
    <x v="0"/>
    <x v="0"/>
    <x v="1"/>
    <x v="12"/>
    <x v="4"/>
    <x v="0"/>
    <x v="0"/>
    <x v="0"/>
  </r>
  <r>
    <x v="0"/>
    <d v="2025-12-31T00:00:00"/>
    <s v="Ctrl"/>
    <x v="0"/>
    <s v="HuaYuan"/>
    <s v="ToTax"/>
    <x v="39"/>
    <n v="441296.96"/>
    <b v="1"/>
    <n v="-441296.96"/>
    <x v="1"/>
    <s v="Liability"/>
    <s v="Rec-Pay"/>
    <x v="0"/>
    <x v="0"/>
    <x v="1"/>
    <x v="11"/>
    <x v="0"/>
    <x v="0"/>
    <x v="0"/>
    <x v="0"/>
  </r>
  <r>
    <x v="0"/>
    <d v="2025-12-31T00:00:00"/>
    <s v="Ctrl"/>
    <x v="0"/>
    <s v="HuaYuan"/>
    <s v="ToEmp"/>
    <x v="40"/>
    <n v="454010.9"/>
    <b v="1"/>
    <n v="-454010.9"/>
    <x v="1"/>
    <s v="Liability"/>
    <s v="Rec-Pay"/>
    <x v="0"/>
    <x v="0"/>
    <x v="1"/>
    <x v="12"/>
    <x v="0"/>
    <x v="0"/>
    <x v="0"/>
    <x v="0"/>
  </r>
  <r>
    <x v="0"/>
    <d v="2025-12-31T00:00:00"/>
    <s v="Ctrl"/>
    <x v="0"/>
    <s v="HY-GaoX"/>
    <s v="ToTax"/>
    <x v="39"/>
    <n v="5489.66"/>
    <b v="1"/>
    <n v="-5489.66"/>
    <x v="1"/>
    <s v="Liability"/>
    <s v="Rec-Pay"/>
    <x v="0"/>
    <x v="0"/>
    <x v="1"/>
    <x v="11"/>
    <x v="5"/>
    <x v="0"/>
    <x v="0"/>
    <x v="0"/>
  </r>
  <r>
    <x v="0"/>
    <d v="2025-12-31T00:00:00"/>
    <s v="Ctrl"/>
    <x v="0"/>
    <s v="HY-GaoX"/>
    <s v="ToEmp"/>
    <x v="40"/>
    <n v="34956.620000000003"/>
    <b v="1"/>
    <n v="-34956.620000000003"/>
    <x v="1"/>
    <s v="Liability"/>
    <s v="Rec-Pay"/>
    <x v="0"/>
    <x v="0"/>
    <x v="1"/>
    <x v="12"/>
    <x v="5"/>
    <x v="0"/>
    <x v="0"/>
    <x v="0"/>
  </r>
  <r>
    <x v="0"/>
    <d v="2025-12-31T00:00:00"/>
    <s v="Ctrl"/>
    <x v="0"/>
    <s v="HY-GaoX"/>
    <s v="ToOther"/>
    <x v="41"/>
    <n v="2200"/>
    <b v="1"/>
    <n v="-2200"/>
    <x v="1"/>
    <s v="Liability"/>
    <s v="Rec-Pay"/>
    <x v="0"/>
    <x v="0"/>
    <x v="1"/>
    <x v="13"/>
    <x v="5"/>
    <x v="0"/>
    <x v="0"/>
    <x v="0"/>
  </r>
  <r>
    <x v="0"/>
    <d v="2025-12-31T00:00:00"/>
    <s v="Ctrl"/>
    <x v="0"/>
    <s v="RanJ"/>
    <s v="ToTax"/>
    <x v="39"/>
    <n v="15725.69"/>
    <b v="1"/>
    <n v="-15725.69"/>
    <x v="1"/>
    <s v="Liability"/>
    <s v="Rec-Pay"/>
    <x v="0"/>
    <x v="0"/>
    <x v="1"/>
    <x v="11"/>
    <x v="12"/>
    <x v="0"/>
    <x v="0"/>
    <x v="0"/>
  </r>
  <r>
    <x v="0"/>
    <d v="2025-12-31T00:00:00"/>
    <s v="Ctrl"/>
    <x v="0"/>
    <s v="RanJ"/>
    <s v="ToEmp"/>
    <x v="40"/>
    <n v="33541.86"/>
    <b v="1"/>
    <n v="-33541.86"/>
    <x v="1"/>
    <s v="Liability"/>
    <s v="Rec-Pay"/>
    <x v="0"/>
    <x v="0"/>
    <x v="1"/>
    <x v="12"/>
    <x v="12"/>
    <x v="0"/>
    <x v="0"/>
    <x v="0"/>
  </r>
  <r>
    <x v="0"/>
    <d v="2025-12-31T00:00:00"/>
    <s v="Ctrl"/>
    <x v="0"/>
    <s v="YuLe"/>
    <s v="ToTax"/>
    <x v="39"/>
    <n v="42232.84"/>
    <b v="1"/>
    <n v="-42232.84"/>
    <x v="1"/>
    <s v="Liability"/>
    <s v="Rec-Pay"/>
    <x v="0"/>
    <x v="0"/>
    <x v="1"/>
    <x v="11"/>
    <x v="3"/>
    <x v="0"/>
    <x v="0"/>
    <x v="0"/>
  </r>
  <r>
    <x v="0"/>
    <d v="2025-12-31T00:00:00"/>
    <s v="Ctrl"/>
    <x v="0"/>
    <s v="YuLe"/>
    <s v="ToEmp"/>
    <x v="40"/>
    <n v="76031.259999999995"/>
    <b v="1"/>
    <n v="-76031.259999999995"/>
    <x v="1"/>
    <s v="Liability"/>
    <s v="Rec-Pay"/>
    <x v="0"/>
    <x v="0"/>
    <x v="1"/>
    <x v="12"/>
    <x v="3"/>
    <x v="0"/>
    <x v="0"/>
    <x v="0"/>
  </r>
  <r>
    <x v="0"/>
    <d v="2025-12-31T00:00:00"/>
    <s v="Ctrl"/>
    <x v="0"/>
    <s v="SangMu"/>
    <s v="ToTax"/>
    <x v="42"/>
    <n v="40000"/>
    <b v="1"/>
    <n v="-40000"/>
    <x v="1"/>
    <s v="Liability"/>
    <s v="Rec-Pay"/>
    <x v="0"/>
    <x v="0"/>
    <x v="1"/>
    <x v="11"/>
    <x v="2"/>
    <x v="0"/>
    <x v="0"/>
    <x v="0"/>
  </r>
  <r>
    <x v="0"/>
    <d v="2025-12-31T00:00:00"/>
    <s v="Ctrl"/>
    <x v="0"/>
    <s v="SangMu"/>
    <s v="ToTax"/>
    <x v="43"/>
    <n v="20527.259999999998"/>
    <b v="1"/>
    <n v="-20527.259999999998"/>
    <x v="1"/>
    <s v="Liability"/>
    <s v="Rec-Pay"/>
    <x v="0"/>
    <x v="0"/>
    <x v="1"/>
    <x v="11"/>
    <x v="2"/>
    <x v="0"/>
    <x v="0"/>
    <x v="0"/>
  </r>
  <r>
    <x v="0"/>
    <d v="2025-12-31T00:00:00"/>
    <s v="Ctrl"/>
    <x v="0"/>
    <s v="SangMu"/>
    <s v="ToTax"/>
    <x v="44"/>
    <n v="15935.56"/>
    <b v="1"/>
    <n v="-15935.56"/>
    <x v="1"/>
    <s v="Liability"/>
    <s v="Rec-Pay"/>
    <x v="0"/>
    <x v="0"/>
    <x v="1"/>
    <x v="11"/>
    <x v="2"/>
    <x v="0"/>
    <x v="0"/>
    <x v="0"/>
  </r>
  <r>
    <x v="0"/>
    <d v="2025-12-31T00:00:00"/>
    <s v="Ctrl"/>
    <x v="0"/>
    <s v="SangMu"/>
    <s v="ToTax"/>
    <x v="45"/>
    <n v="1309.8399999999999"/>
    <b v="1"/>
    <n v="-1309.8399999999999"/>
    <x v="1"/>
    <s v="Liability"/>
    <s v="Rec-Pay"/>
    <x v="0"/>
    <x v="0"/>
    <x v="1"/>
    <x v="11"/>
    <x v="2"/>
    <x v="0"/>
    <x v="0"/>
    <x v="0"/>
  </r>
  <r>
    <x v="0"/>
    <d v="2025-12-31T00:00:00"/>
    <s v="Ctrl"/>
    <x v="0"/>
    <s v="SangMu"/>
    <s v="ToEmp"/>
    <x v="40"/>
    <n v="18440"/>
    <b v="1"/>
    <n v="-18440"/>
    <x v="1"/>
    <s v="Liability"/>
    <s v="Rec-Pay"/>
    <x v="0"/>
    <x v="0"/>
    <x v="1"/>
    <x v="12"/>
    <x v="2"/>
    <x v="0"/>
    <x v="0"/>
    <x v="0"/>
  </r>
  <r>
    <x v="0"/>
    <d v="2025-12-31T00:00:00"/>
    <s v="Ctrl"/>
    <x v="0"/>
    <s v="MiXiaoYi"/>
    <s v="ToTax"/>
    <x v="39"/>
    <n v="30461.37"/>
    <b v="1"/>
    <n v="-30461.37"/>
    <x v="1"/>
    <s v="Liability"/>
    <s v="Rec-Pay"/>
    <x v="0"/>
    <x v="0"/>
    <x v="1"/>
    <x v="11"/>
    <x v="6"/>
    <x v="0"/>
    <x v="0"/>
    <x v="0"/>
  </r>
  <r>
    <x v="0"/>
    <d v="2025-12-31T00:00:00"/>
    <s v="Ctrl"/>
    <x v="0"/>
    <s v="MiXiaoYi"/>
    <s v="ToEmp"/>
    <x v="40"/>
    <n v="156507.97"/>
    <b v="1"/>
    <n v="-156507.97"/>
    <x v="1"/>
    <s v="Liability"/>
    <s v="Rec-Pay"/>
    <x v="0"/>
    <x v="0"/>
    <x v="1"/>
    <x v="12"/>
    <x v="6"/>
    <x v="0"/>
    <x v="0"/>
    <x v="0"/>
  </r>
  <r>
    <x v="0"/>
    <d v="2025-12-31T00:00:00"/>
    <s v="Ctrl"/>
    <x v="0"/>
    <s v="MiXiaoYi"/>
    <s v="MemShip"/>
    <x v="46"/>
    <n v="50507.19"/>
    <b v="1"/>
    <n v="-50507.19"/>
    <x v="1"/>
    <s v="Liability"/>
    <s v="Cash alike"/>
    <x v="0"/>
    <x v="0"/>
    <x v="0"/>
    <x v="14"/>
    <x v="6"/>
    <x v="0"/>
    <x v="0"/>
    <x v="0"/>
  </r>
  <r>
    <x v="0"/>
    <d v="2025-12-31T00:00:00"/>
    <s v="Ctrl"/>
    <x v="0"/>
    <s v="YuanWH"/>
    <s v="ToTax"/>
    <x v="39"/>
    <n v="12351.18"/>
    <b v="1"/>
    <n v="-12351.18"/>
    <x v="1"/>
    <s v="Liability"/>
    <s v="Rec-Pay"/>
    <x v="0"/>
    <x v="0"/>
    <x v="1"/>
    <x v="11"/>
    <x v="7"/>
    <x v="0"/>
    <x v="0"/>
    <x v="0"/>
  </r>
  <r>
    <x v="0"/>
    <d v="2025-12-31T00:00:00"/>
    <s v="Ctrl"/>
    <x v="0"/>
    <s v="YuanWH"/>
    <s v="ToEmp"/>
    <x v="40"/>
    <n v="112127.37"/>
    <b v="1"/>
    <n v="-112127.37"/>
    <x v="1"/>
    <s v="Liability"/>
    <s v="Rec-Pay"/>
    <x v="0"/>
    <x v="0"/>
    <x v="1"/>
    <x v="12"/>
    <x v="7"/>
    <x v="0"/>
    <x v="0"/>
    <x v="0"/>
  </r>
  <r>
    <x v="0"/>
    <d v="2025-12-31T00:00:00"/>
    <s v="Ctrl"/>
    <x v="0"/>
    <s v="YuanWH"/>
    <s v="MemShip"/>
    <x v="47"/>
    <n v="389468.04000000004"/>
    <b v="1"/>
    <n v="-389468.04000000004"/>
    <x v="1"/>
    <s v="Liability"/>
    <s v="Cash alike"/>
    <x v="0"/>
    <x v="0"/>
    <x v="0"/>
    <x v="14"/>
    <x v="7"/>
    <x v="0"/>
    <x v="0"/>
    <x v="0"/>
  </r>
  <r>
    <x v="0"/>
    <d v="2025-12-31T00:00:00"/>
    <s v="Ctrl"/>
    <x v="0"/>
    <s v="YuanWH"/>
    <s v="ToOther"/>
    <x v="48"/>
    <n v="5997.5"/>
    <b v="1"/>
    <n v="-5997.5"/>
    <x v="1"/>
    <s v="Liability"/>
    <s v="Rec-Pay"/>
    <x v="0"/>
    <x v="0"/>
    <x v="1"/>
    <x v="13"/>
    <x v="7"/>
    <x v="0"/>
    <x v="0"/>
    <x v="0"/>
  </r>
  <r>
    <x v="0"/>
    <d v="2025-12-31T00:00:00"/>
    <s v="Ctrl"/>
    <x v="0"/>
    <s v="YuanWH"/>
    <s v="AP"/>
    <x v="38"/>
    <n v="25551.3"/>
    <b v="1"/>
    <n v="-25551.3"/>
    <x v="1"/>
    <s v="Liability"/>
    <s v="Rec-Pay"/>
    <x v="0"/>
    <x v="0"/>
    <x v="1"/>
    <x v="10"/>
    <x v="7"/>
    <x v="0"/>
    <x v="0"/>
    <x v="0"/>
  </r>
  <r>
    <x v="0"/>
    <d v="2025-12-31T00:00:00"/>
    <s v="Ctrl"/>
    <x v="0"/>
    <s v="YuanWH"/>
    <s v="APIC"/>
    <x v="49"/>
    <n v="14402045"/>
    <b v="1"/>
    <n v="-14402045"/>
    <x v="1"/>
    <s v="Equity"/>
    <s v="Cap"/>
    <x v="0"/>
    <x v="0"/>
    <x v="6"/>
    <x v="15"/>
    <x v="7"/>
    <x v="0"/>
    <x v="0"/>
    <x v="0"/>
  </r>
  <r>
    <x v="0"/>
    <d v="2025-12-31T00:00:00"/>
    <s v="Ctrl"/>
    <x v="0"/>
    <s v="XiJia"/>
    <s v="Common"/>
    <x v="50"/>
    <n v="25036191"/>
    <b v="1"/>
    <n v="-25036191"/>
    <x v="1"/>
    <s v="Equity"/>
    <s v="Cap"/>
    <x v="0"/>
    <x v="0"/>
    <x v="6"/>
    <x v="16"/>
    <x v="4"/>
    <x v="0"/>
    <x v="0"/>
    <x v="0"/>
  </r>
  <r>
    <x v="0"/>
    <d v="2025-12-31T00:00:00"/>
    <s v="Ctrl"/>
    <x v="0"/>
    <s v="XiJia"/>
    <s v="RE"/>
    <x v="51"/>
    <n v="7626715.7400000319"/>
    <b v="1"/>
    <n v="-7626715.7400000319"/>
    <x v="1"/>
    <s v="Equity"/>
    <s v="Rsv"/>
    <x v="0"/>
    <x v="0"/>
    <x v="7"/>
    <x v="17"/>
    <x v="4"/>
    <x v="0"/>
    <x v="0"/>
    <x v="0"/>
  </r>
  <r>
    <x v="1"/>
    <d v="2025-12-31T00:00:00"/>
    <s v="Ctrl"/>
    <x v="1"/>
    <s v="HuaYuan"/>
    <s v="Curr"/>
    <x v="30"/>
    <n v="-10513383.689999999"/>
    <b v="1"/>
    <n v="-10513383.689999999"/>
    <x v="0"/>
    <s v="Assets"/>
    <s v="Invtr"/>
    <x v="0"/>
    <x v="0"/>
    <x v="3"/>
    <x v="7"/>
    <x v="0"/>
    <x v="0"/>
    <x v="0"/>
    <x v="0"/>
  </r>
  <r>
    <x v="1"/>
    <d v="2025-12-31T00:00:00"/>
    <s v="Ctrl"/>
    <x v="1"/>
    <s v="HuaYuan"/>
    <s v="Curr"/>
    <x v="52"/>
    <n v="3926374.9699999997"/>
    <b v="1"/>
    <n v="3926374.9699999997"/>
    <x v="0"/>
    <s v="Assets"/>
    <s v="Invtr"/>
    <x v="0"/>
    <x v="0"/>
    <x v="3"/>
    <x v="7"/>
    <x v="0"/>
    <x v="0"/>
    <x v="0"/>
    <x v="0"/>
  </r>
  <r>
    <x v="1"/>
    <d v="2025-12-31T00:00:00"/>
    <s v="Ctrl"/>
    <x v="1"/>
    <s v="HuaYuan"/>
    <s v="Curr"/>
    <x v="53"/>
    <n v="2000000"/>
    <b v="1"/>
    <n v="2000000"/>
    <x v="0"/>
    <s v="Assets"/>
    <s v="Invtr"/>
    <x v="0"/>
    <x v="0"/>
    <x v="3"/>
    <x v="7"/>
    <x v="0"/>
    <x v="0"/>
    <x v="0"/>
    <x v="0"/>
  </r>
  <r>
    <x v="1"/>
    <d v="2025-12-31T00:00:00"/>
    <s v="Ctrl"/>
    <x v="1"/>
    <s v="HuaYuan"/>
    <s v="Old"/>
    <x v="54"/>
    <n v="7473076.1599999992"/>
    <b v="1"/>
    <n v="7473076.1599999992"/>
    <x v="0"/>
    <s v="Assets"/>
    <s v="Invtr"/>
    <x v="0"/>
    <x v="0"/>
    <x v="3"/>
    <x v="18"/>
    <x v="0"/>
    <x v="0"/>
    <x v="0"/>
    <x v="0"/>
  </r>
  <r>
    <x v="1"/>
    <d v="2025-12-31T00:00:00"/>
    <s v="Ctrl"/>
    <x v="1"/>
    <s v="HuaYuan"/>
    <s v="RE"/>
    <x v="51"/>
    <n v="2886067.4399999995"/>
    <b v="1"/>
    <n v="-2886067.4399999995"/>
    <x v="1"/>
    <s v="Equity"/>
    <s v="Rsv"/>
    <x v="0"/>
    <x v="0"/>
    <x v="7"/>
    <x v="17"/>
    <x v="0"/>
    <x v="0"/>
    <x v="0"/>
    <x v="0"/>
  </r>
  <r>
    <x v="2"/>
    <d v="2025-12-31T00:00:00"/>
    <s v="Ctrl"/>
    <x v="2"/>
    <s v="HuaYuan"/>
    <s v="Old"/>
    <x v="55"/>
    <n v="-7473076.1599999992"/>
    <b v="1"/>
    <n v="-7473076.1599999992"/>
    <x v="0"/>
    <s v="Assets"/>
    <s v="Invtr"/>
    <x v="0"/>
    <x v="0"/>
    <x v="3"/>
    <x v="18"/>
    <x v="0"/>
    <x v="0"/>
    <x v="0"/>
    <x v="0"/>
  </r>
  <r>
    <x v="2"/>
    <d v="2025-12-31T00:00:00"/>
    <s v="Ctrl"/>
    <x v="2"/>
    <s v="HuaYuan"/>
    <s v="RE"/>
    <x v="51"/>
    <n v="-7473076.1599999992"/>
    <b v="1"/>
    <n v="7473076.1599999992"/>
    <x v="1"/>
    <s v="Equity"/>
    <s v="Rsv"/>
    <x v="0"/>
    <x v="0"/>
    <x v="7"/>
    <x v="17"/>
    <x v="0"/>
    <x v="0"/>
    <x v="0"/>
    <x v="0"/>
  </r>
  <r>
    <x v="3"/>
    <d v="2026-01-01T00:00:00"/>
    <s v="GM"/>
    <x v="3"/>
    <s v="SangMu"/>
    <s v="Bank"/>
    <x v="2"/>
    <n v="-481.6"/>
    <b v="1"/>
    <n v="-481.6"/>
    <x v="0"/>
    <s v="Assets"/>
    <s v="Cash alike"/>
    <x v="1"/>
    <x v="1"/>
    <x v="0"/>
    <x v="0"/>
    <x v="2"/>
    <x v="1"/>
    <x v="1"/>
    <x v="1"/>
  </r>
  <r>
    <x v="4"/>
    <d v="2026-01-05T00:00:00"/>
    <s v="Online"/>
    <x v="4"/>
    <s v="SangMu"/>
    <s v="Order"/>
    <x v="27"/>
    <n v="38891.199999999997"/>
    <b v="1"/>
    <n v="38891.199999999997"/>
    <x v="0"/>
    <s v="Assets"/>
    <s v="Prep-Sub"/>
    <x v="2"/>
    <x v="1"/>
    <x v="2"/>
    <x v="6"/>
    <x v="2"/>
    <x v="2"/>
    <x v="1"/>
    <x v="1"/>
  </r>
  <r>
    <x v="4"/>
    <d v="2026-01-05T00:00:00"/>
    <s v="Online"/>
    <x v="4"/>
    <s v="SangMu"/>
    <s v="Bank"/>
    <x v="2"/>
    <n v="-38891.199999999997"/>
    <b v="1"/>
    <n v="-38891.199999999997"/>
    <x v="0"/>
    <s v="Assets"/>
    <s v="Cash alike"/>
    <x v="2"/>
    <x v="1"/>
    <x v="0"/>
    <x v="0"/>
    <x v="2"/>
    <x v="2"/>
    <x v="1"/>
    <x v="1"/>
  </r>
  <r>
    <x v="5"/>
    <d v="2026-01-05T00:00:00"/>
    <s v="Online"/>
    <x v="5"/>
    <s v="SangMu"/>
    <s v="Curr"/>
    <x v="30"/>
    <n v="52967.199999999997"/>
    <b v="1"/>
    <n v="52967.199999999997"/>
    <x v="0"/>
    <s v="Assets"/>
    <s v="Invtr"/>
    <x v="2"/>
    <x v="1"/>
    <x v="3"/>
    <x v="7"/>
    <x v="2"/>
    <x v="2"/>
    <x v="1"/>
    <x v="1"/>
  </r>
  <r>
    <x v="5"/>
    <d v="2026-01-05T00:00:00"/>
    <s v="Online"/>
    <x v="5"/>
    <s v="SangMu"/>
    <s v="Order"/>
    <x v="27"/>
    <n v="-52967.199999999997"/>
    <b v="1"/>
    <n v="-52967.199999999997"/>
    <x v="0"/>
    <s v="Assets"/>
    <s v="Prep-Sub"/>
    <x v="2"/>
    <x v="1"/>
    <x v="2"/>
    <x v="6"/>
    <x v="2"/>
    <x v="2"/>
    <x v="1"/>
    <x v="1"/>
  </r>
  <r>
    <x v="6"/>
    <d v="2026-01-06T00:00:00"/>
    <s v="GM"/>
    <x v="6"/>
    <s v="SangMu"/>
    <s v="FrOther"/>
    <x v="21"/>
    <n v="1431.45"/>
    <b v="1"/>
    <n v="1431.45"/>
    <x v="0"/>
    <s v="Assets"/>
    <s v="Rec-Pay"/>
    <x v="1"/>
    <x v="1"/>
    <x v="1"/>
    <x v="3"/>
    <x v="2"/>
    <x v="1"/>
    <x v="1"/>
    <x v="1"/>
  </r>
  <r>
    <x v="6"/>
    <d v="2026-01-06T00:00:00"/>
    <s v="GM"/>
    <x v="6"/>
    <s v="SangMu"/>
    <s v="Bank"/>
    <x v="2"/>
    <n v="-4913.7299999999996"/>
    <b v="1"/>
    <n v="-4913.7299999999996"/>
    <x v="0"/>
    <s v="Assets"/>
    <s v="Cash alike"/>
    <x v="1"/>
    <x v="1"/>
    <x v="0"/>
    <x v="0"/>
    <x v="2"/>
    <x v="1"/>
    <x v="1"/>
    <x v="1"/>
  </r>
  <r>
    <x v="7"/>
    <d v="2026-01-07T00:00:00"/>
    <s v="Ctrl"/>
    <x v="7"/>
    <s v="SangMu"/>
    <s v="Bank"/>
    <x v="2"/>
    <n v="-1800"/>
    <b v="1"/>
    <n v="-1800"/>
    <x v="0"/>
    <s v="Assets"/>
    <s v="Cash alike"/>
    <x v="0"/>
    <x v="0"/>
    <x v="0"/>
    <x v="0"/>
    <x v="2"/>
    <x v="0"/>
    <x v="1"/>
    <x v="1"/>
  </r>
  <r>
    <x v="7"/>
    <d v="2026-01-07T00:00:00"/>
    <s v="Ctrl"/>
    <x v="7"/>
    <s v="CYY-Qi"/>
    <s v="Bank"/>
    <x v="1"/>
    <m/>
    <b v="0"/>
    <n v="0"/>
    <x v="0"/>
    <s v="Assets"/>
    <s v="Cash alike"/>
    <x v="0"/>
    <x v="0"/>
    <x v="0"/>
    <x v="0"/>
    <x v="1"/>
    <x v="0"/>
    <x v="1"/>
    <x v="1"/>
  </r>
  <r>
    <x v="8"/>
    <d v="2026-01-07T00:00:00"/>
    <s v="Online"/>
    <x v="4"/>
    <s v="SangMu"/>
    <s v="Order"/>
    <x v="27"/>
    <n v="33000"/>
    <b v="1"/>
    <n v="33000"/>
    <x v="0"/>
    <s v="Assets"/>
    <s v="Prep-Sub"/>
    <x v="2"/>
    <x v="1"/>
    <x v="2"/>
    <x v="6"/>
    <x v="2"/>
    <x v="2"/>
    <x v="1"/>
    <x v="1"/>
  </r>
  <r>
    <x v="8"/>
    <d v="2026-01-07T00:00:00"/>
    <s v="Online"/>
    <x v="4"/>
    <s v="SangMu"/>
    <s v="Bank"/>
    <x v="2"/>
    <n v="-33000"/>
    <b v="1"/>
    <n v="-33000"/>
    <x v="0"/>
    <s v="Assets"/>
    <s v="Cash alike"/>
    <x v="2"/>
    <x v="1"/>
    <x v="0"/>
    <x v="0"/>
    <x v="2"/>
    <x v="2"/>
    <x v="1"/>
    <x v="1"/>
  </r>
  <r>
    <x v="9"/>
    <d v="2026-01-12T00:00:00"/>
    <s v="Ctrl"/>
    <x v="8"/>
    <s v="SangMu"/>
    <s v="ToTax"/>
    <x v="42"/>
    <n v="-40000"/>
    <b v="1"/>
    <n v="40000"/>
    <x v="1"/>
    <s v="Liability"/>
    <s v="Rec-Pay"/>
    <x v="1"/>
    <x v="1"/>
    <x v="1"/>
    <x v="11"/>
    <x v="2"/>
    <x v="0"/>
    <x v="1"/>
    <x v="1"/>
  </r>
  <r>
    <x v="9"/>
    <d v="2026-01-12T00:00:00"/>
    <s v="Ctrl"/>
    <x v="8"/>
    <s v="SangMu"/>
    <s v="Bank"/>
    <x v="2"/>
    <n v="-40000"/>
    <b v="1"/>
    <n v="-40000"/>
    <x v="0"/>
    <s v="Assets"/>
    <s v="Cash alike"/>
    <x v="1"/>
    <x v="1"/>
    <x v="0"/>
    <x v="0"/>
    <x v="2"/>
    <x v="0"/>
    <x v="1"/>
    <x v="1"/>
  </r>
  <r>
    <x v="10"/>
    <d v="2026-01-12T00:00:00"/>
    <s v="Ctrl"/>
    <x v="8"/>
    <s v="SangMu"/>
    <s v="ToEmp"/>
    <x v="40"/>
    <n v="-18440"/>
    <b v="1"/>
    <n v="18440"/>
    <x v="1"/>
    <s v="Liability"/>
    <s v="Rec-Pay"/>
    <x v="1"/>
    <x v="1"/>
    <x v="1"/>
    <x v="12"/>
    <x v="2"/>
    <x v="0"/>
    <x v="1"/>
    <x v="1"/>
  </r>
  <r>
    <x v="10"/>
    <d v="2026-01-12T00:00:00"/>
    <s v="Ctrl"/>
    <x v="8"/>
    <s v="SangMu"/>
    <s v="Bank"/>
    <x v="2"/>
    <n v="-16946.37"/>
    <b v="1"/>
    <n v="-16946.37"/>
    <x v="0"/>
    <s v="Assets"/>
    <s v="Cash alike"/>
    <x v="1"/>
    <x v="1"/>
    <x v="0"/>
    <x v="0"/>
    <x v="2"/>
    <x v="0"/>
    <x v="1"/>
    <x v="1"/>
  </r>
  <r>
    <x v="10"/>
    <d v="2026-01-12T00:00:00"/>
    <s v="Ctrl"/>
    <x v="8"/>
    <s v="SangMu"/>
    <s v="FrOther"/>
    <x v="21"/>
    <n v="-1431.45"/>
    <b v="1"/>
    <n v="-1431.45"/>
    <x v="0"/>
    <s v="Assets"/>
    <s v="Rec-Pay"/>
    <x v="1"/>
    <x v="1"/>
    <x v="1"/>
    <x v="3"/>
    <x v="2"/>
    <x v="0"/>
    <x v="1"/>
    <x v="1"/>
  </r>
  <r>
    <x v="10"/>
    <d v="2026-01-12T00:00:00"/>
    <s v="Ctrl"/>
    <x v="8"/>
    <s v="SangMu"/>
    <s v="ToTax"/>
    <x v="56"/>
    <n v="62.18"/>
    <b v="1"/>
    <n v="-62.18"/>
    <x v="1"/>
    <s v="Liability"/>
    <s v="Rec-Pay"/>
    <x v="1"/>
    <x v="1"/>
    <x v="1"/>
    <x v="11"/>
    <x v="2"/>
    <x v="0"/>
    <x v="1"/>
    <x v="1"/>
  </r>
  <r>
    <x v="11"/>
    <d v="2026-01-12T00:00:00"/>
    <s v="Ctrl"/>
    <x v="8"/>
    <s v="SangMu"/>
    <s v="ToTax"/>
    <x v="56"/>
    <n v="-62.18"/>
    <b v="1"/>
    <n v="62.18"/>
    <x v="1"/>
    <s v="Liability"/>
    <s v="Rec-Pay"/>
    <x v="1"/>
    <x v="1"/>
    <x v="1"/>
    <x v="11"/>
    <x v="2"/>
    <x v="0"/>
    <x v="1"/>
    <x v="1"/>
  </r>
  <r>
    <x v="11"/>
    <d v="2026-01-12T00:00:00"/>
    <s v="Ctrl"/>
    <x v="8"/>
    <s v="SangMu"/>
    <s v="Bank"/>
    <x v="2"/>
    <n v="-62.18"/>
    <b v="1"/>
    <n v="-62.18"/>
    <x v="0"/>
    <s v="Assets"/>
    <s v="Cash alike"/>
    <x v="1"/>
    <x v="1"/>
    <x v="0"/>
    <x v="0"/>
    <x v="2"/>
    <x v="0"/>
    <x v="1"/>
    <x v="1"/>
  </r>
  <r>
    <x v="12"/>
    <d v="2026-01-12T00:00:00"/>
    <s v="GM"/>
    <x v="3"/>
    <s v="SangMu"/>
    <s v="Bank"/>
    <x v="2"/>
    <n v="-655"/>
    <b v="1"/>
    <n v="-655"/>
    <x v="0"/>
    <s v="Assets"/>
    <s v="Cash alike"/>
    <x v="1"/>
    <x v="1"/>
    <x v="0"/>
    <x v="0"/>
    <x v="2"/>
    <x v="1"/>
    <x v="1"/>
    <x v="1"/>
  </r>
  <r>
    <x v="13"/>
    <d v="2026-01-12T00:00:00"/>
    <s v="Ctrl"/>
    <x v="8"/>
    <s v="SangMu"/>
    <s v="ToTax"/>
    <x v="44"/>
    <n v="-15935.56"/>
    <b v="1"/>
    <n v="15935.56"/>
    <x v="1"/>
    <s v="Liability"/>
    <s v="Rec-Pay"/>
    <x v="1"/>
    <x v="1"/>
    <x v="1"/>
    <x v="11"/>
    <x v="2"/>
    <x v="0"/>
    <x v="1"/>
    <x v="1"/>
  </r>
  <r>
    <x v="13"/>
    <d v="2026-01-12T00:00:00"/>
    <s v="Ctrl"/>
    <x v="8"/>
    <s v="SangMu"/>
    <s v="ToTax"/>
    <x v="45"/>
    <n v="-1309.8399999999999"/>
    <b v="1"/>
    <n v="1309.8399999999999"/>
    <x v="1"/>
    <s v="Liability"/>
    <s v="Rec-Pay"/>
    <x v="1"/>
    <x v="1"/>
    <x v="1"/>
    <x v="11"/>
    <x v="2"/>
    <x v="0"/>
    <x v="1"/>
    <x v="1"/>
  </r>
  <r>
    <x v="13"/>
    <d v="2026-01-12T00:00:00"/>
    <s v="Ctrl"/>
    <x v="8"/>
    <s v="SangMu"/>
    <s v="ToTax"/>
    <x v="43"/>
    <n v="-20527.259999999998"/>
    <b v="1"/>
    <n v="20527.259999999998"/>
    <x v="1"/>
    <s v="Liability"/>
    <s v="Rec-Pay"/>
    <x v="1"/>
    <x v="1"/>
    <x v="1"/>
    <x v="11"/>
    <x v="2"/>
    <x v="0"/>
    <x v="1"/>
    <x v="1"/>
  </r>
  <r>
    <x v="13"/>
    <d v="2026-01-12T00:00:00"/>
    <s v="Ctrl"/>
    <x v="8"/>
    <s v="SangMu"/>
    <s v="Bank"/>
    <x v="2"/>
    <n v="-37772.620000000003"/>
    <b v="1"/>
    <n v="-37772.620000000003"/>
    <x v="0"/>
    <s v="Assets"/>
    <s v="Cash alike"/>
    <x v="1"/>
    <x v="1"/>
    <x v="0"/>
    <x v="0"/>
    <x v="2"/>
    <x v="0"/>
    <x v="1"/>
    <x v="1"/>
  </r>
  <r>
    <x v="14"/>
    <d v="2026-01-14T00:00:00"/>
    <s v="Online"/>
    <x v="4"/>
    <s v="SangMu"/>
    <s v="Order"/>
    <x v="27"/>
    <n v="36301.5"/>
    <b v="1"/>
    <n v="36301.5"/>
    <x v="0"/>
    <s v="Assets"/>
    <s v="Prep-Sub"/>
    <x v="2"/>
    <x v="1"/>
    <x v="2"/>
    <x v="6"/>
    <x v="2"/>
    <x v="2"/>
    <x v="1"/>
    <x v="1"/>
  </r>
  <r>
    <x v="14"/>
    <d v="2026-01-14T00:00:00"/>
    <s v="Online"/>
    <x v="4"/>
    <s v="SangMu"/>
    <s v="Bank"/>
    <x v="2"/>
    <n v="-36301.5"/>
    <b v="1"/>
    <n v="-36301.5"/>
    <x v="0"/>
    <s v="Assets"/>
    <s v="Cash alike"/>
    <x v="2"/>
    <x v="1"/>
    <x v="0"/>
    <x v="0"/>
    <x v="2"/>
    <x v="2"/>
    <x v="1"/>
    <x v="1"/>
  </r>
  <r>
    <x v="15"/>
    <d v="2026-01-14T00:00:00"/>
    <s v="Online"/>
    <x v="5"/>
    <s v="SangMu"/>
    <s v="Curr"/>
    <x v="30"/>
    <n v="48363"/>
    <b v="1"/>
    <n v="48363"/>
    <x v="0"/>
    <s v="Assets"/>
    <s v="Invtr"/>
    <x v="2"/>
    <x v="1"/>
    <x v="3"/>
    <x v="7"/>
    <x v="2"/>
    <x v="2"/>
    <x v="1"/>
    <x v="1"/>
  </r>
  <r>
    <x v="15"/>
    <d v="2026-01-14T00:00:00"/>
    <s v="Online"/>
    <x v="5"/>
    <s v="SangMu"/>
    <s v="Order"/>
    <x v="27"/>
    <n v="-48363"/>
    <b v="1"/>
    <n v="-48363"/>
    <x v="0"/>
    <s v="Assets"/>
    <s v="Prep-Sub"/>
    <x v="2"/>
    <x v="1"/>
    <x v="2"/>
    <x v="6"/>
    <x v="2"/>
    <x v="2"/>
    <x v="1"/>
    <x v="1"/>
  </r>
  <r>
    <x v="16"/>
    <d v="2026-01-19T00:00:00"/>
    <s v="Online"/>
    <x v="4"/>
    <s v="SangMu"/>
    <s v="Order"/>
    <x v="27"/>
    <n v="82225"/>
    <b v="1"/>
    <n v="82225"/>
    <x v="0"/>
    <s v="Assets"/>
    <s v="Prep-Sub"/>
    <x v="2"/>
    <x v="1"/>
    <x v="2"/>
    <x v="6"/>
    <x v="2"/>
    <x v="2"/>
    <x v="1"/>
    <x v="1"/>
  </r>
  <r>
    <x v="16"/>
    <d v="2026-01-19T00:00:00"/>
    <s v="Online"/>
    <x v="4"/>
    <s v="SangMu"/>
    <s v="Bank"/>
    <x v="2"/>
    <n v="-82225"/>
    <b v="1"/>
    <n v="-82225"/>
    <x v="0"/>
    <s v="Assets"/>
    <s v="Cash alike"/>
    <x v="2"/>
    <x v="1"/>
    <x v="0"/>
    <x v="0"/>
    <x v="2"/>
    <x v="2"/>
    <x v="1"/>
    <x v="1"/>
  </r>
  <r>
    <x v="17"/>
    <d v="2026-01-19T00:00:00"/>
    <s v="Online"/>
    <x v="5"/>
    <s v="SangMu"/>
    <s v="Curr"/>
    <x v="30"/>
    <n v="82225"/>
    <b v="1"/>
    <n v="82225"/>
    <x v="0"/>
    <s v="Assets"/>
    <s v="Invtr"/>
    <x v="2"/>
    <x v="1"/>
    <x v="3"/>
    <x v="7"/>
    <x v="2"/>
    <x v="2"/>
    <x v="1"/>
    <x v="1"/>
  </r>
  <r>
    <x v="17"/>
    <d v="2026-01-19T00:00:00"/>
    <s v="Online"/>
    <x v="5"/>
    <s v="SangMu"/>
    <s v="Order"/>
    <x v="27"/>
    <n v="-82225"/>
    <b v="1"/>
    <n v="-82225"/>
    <x v="0"/>
    <s v="Assets"/>
    <s v="Prep-Sub"/>
    <x v="2"/>
    <x v="1"/>
    <x v="2"/>
    <x v="6"/>
    <x v="2"/>
    <x v="2"/>
    <x v="1"/>
    <x v="1"/>
  </r>
  <r>
    <x v="18"/>
    <d v="2026-01-19T00:00:00"/>
    <s v="Online"/>
    <x v="9"/>
    <s v="SangMu"/>
    <s v="Bank"/>
    <x v="2"/>
    <n v="2917.8"/>
    <b v="1"/>
    <n v="2917.8"/>
    <x v="0"/>
    <s v="Assets"/>
    <s v="Cash alike"/>
    <x v="3"/>
    <x v="1"/>
    <x v="0"/>
    <x v="0"/>
    <x v="2"/>
    <x v="2"/>
    <x v="1"/>
    <x v="1"/>
  </r>
  <r>
    <x v="19"/>
    <d v="2026-01-19T00:00:00"/>
    <s v="Online"/>
    <x v="9"/>
    <s v="SangMu"/>
    <s v="Bank"/>
    <x v="2"/>
    <n v="19873.7"/>
    <b v="1"/>
    <n v="19873.7"/>
    <x v="0"/>
    <s v="Assets"/>
    <s v="Cash alike"/>
    <x v="3"/>
    <x v="1"/>
    <x v="0"/>
    <x v="0"/>
    <x v="2"/>
    <x v="2"/>
    <x v="1"/>
    <x v="1"/>
  </r>
  <r>
    <x v="20"/>
    <d v="2026-01-20T00:00:00"/>
    <s v="Online"/>
    <x v="4"/>
    <s v="SangMu"/>
    <s v="Order"/>
    <x v="27"/>
    <n v="12408"/>
    <b v="1"/>
    <n v="12408"/>
    <x v="0"/>
    <s v="Assets"/>
    <s v="Prep-Sub"/>
    <x v="2"/>
    <x v="1"/>
    <x v="2"/>
    <x v="6"/>
    <x v="2"/>
    <x v="2"/>
    <x v="1"/>
    <x v="1"/>
  </r>
  <r>
    <x v="20"/>
    <d v="2026-01-20T00:00:00"/>
    <s v="Online"/>
    <x v="4"/>
    <s v="SangMu"/>
    <s v="Bank"/>
    <x v="2"/>
    <n v="-12408"/>
    <b v="1"/>
    <n v="-12408"/>
    <x v="0"/>
    <s v="Assets"/>
    <s v="Cash alike"/>
    <x v="2"/>
    <x v="1"/>
    <x v="0"/>
    <x v="0"/>
    <x v="2"/>
    <x v="2"/>
    <x v="1"/>
    <x v="1"/>
  </r>
  <r>
    <x v="21"/>
    <d v="2026-01-21T00:00:00"/>
    <s v="Ctrl"/>
    <x v="10"/>
    <s v="SangMu"/>
    <s v="Bank"/>
    <x v="2"/>
    <n v="421668.55"/>
    <b v="1"/>
    <n v="421668.55"/>
    <x v="0"/>
    <s v="Assets"/>
    <s v="Cash alike"/>
    <x v="0"/>
    <x v="0"/>
    <x v="0"/>
    <x v="0"/>
    <x v="2"/>
    <x v="0"/>
    <x v="1"/>
    <x v="1"/>
  </r>
  <r>
    <x v="21"/>
    <d v="2026-01-21T00:00:00"/>
    <s v="Ctrl"/>
    <x v="10"/>
    <s v="SangMu"/>
    <s v="Curr"/>
    <x v="30"/>
    <n v="-421668.55"/>
    <b v="1"/>
    <n v="-421668.55"/>
    <x v="0"/>
    <s v="Assets"/>
    <s v="Invtr"/>
    <x v="0"/>
    <x v="0"/>
    <x v="3"/>
    <x v="7"/>
    <x v="2"/>
    <x v="0"/>
    <x v="1"/>
    <x v="1"/>
  </r>
  <r>
    <x v="22"/>
    <d v="2026-01-21T00:00:00"/>
    <s v="Ctrl"/>
    <x v="7"/>
    <s v="SangMu"/>
    <s v="Bank"/>
    <x v="2"/>
    <n v="-180000"/>
    <b v="1"/>
    <n v="-180000"/>
    <x v="0"/>
    <s v="Assets"/>
    <s v="Cash alike"/>
    <x v="0"/>
    <x v="0"/>
    <x v="0"/>
    <x v="0"/>
    <x v="2"/>
    <x v="0"/>
    <x v="1"/>
    <x v="1"/>
  </r>
  <r>
    <x v="22"/>
    <d v="2026-01-21T00:00:00"/>
    <s v="Ctrl"/>
    <x v="7"/>
    <s v="CYY-Qi"/>
    <s v="Bank"/>
    <x v="1"/>
    <m/>
    <b v="0"/>
    <n v="0"/>
    <x v="0"/>
    <s v="Assets"/>
    <s v="Cash alike"/>
    <x v="0"/>
    <x v="0"/>
    <x v="0"/>
    <x v="0"/>
    <x v="1"/>
    <x v="0"/>
    <x v="1"/>
    <x v="1"/>
  </r>
  <r>
    <x v="23"/>
    <d v="2026-01-23T00:00:00"/>
    <s v="Online"/>
    <x v="11"/>
    <s v="SangMu"/>
    <s v="Bank"/>
    <x v="2"/>
    <n v="-9960"/>
    <b v="1"/>
    <n v="-9960"/>
    <x v="0"/>
    <s v="Assets"/>
    <s v="Cash alike"/>
    <x v="2"/>
    <x v="1"/>
    <x v="0"/>
    <x v="0"/>
    <x v="2"/>
    <x v="2"/>
    <x v="1"/>
    <x v="1"/>
  </r>
  <r>
    <x v="23"/>
    <d v="2026-01-23T00:00:00"/>
    <s v="Online"/>
    <x v="11"/>
    <s v="SangMu"/>
    <s v="Curr"/>
    <x v="30"/>
    <n v="9960"/>
    <b v="1"/>
    <n v="9960"/>
    <x v="0"/>
    <s v="Assets"/>
    <s v="Invtr"/>
    <x v="2"/>
    <x v="1"/>
    <x v="3"/>
    <x v="7"/>
    <x v="2"/>
    <x v="2"/>
    <x v="1"/>
    <x v="1"/>
  </r>
  <r>
    <x v="24"/>
    <d v="2026-01-23T00:00:00"/>
    <s v="GM"/>
    <x v="3"/>
    <s v="SangMu"/>
    <s v="Bank"/>
    <x v="2"/>
    <n v="-2153.5"/>
    <b v="1"/>
    <n v="-2153.5"/>
    <x v="0"/>
    <s v="Assets"/>
    <s v="Cash alike"/>
    <x v="1"/>
    <x v="1"/>
    <x v="0"/>
    <x v="0"/>
    <x v="2"/>
    <x v="1"/>
    <x v="1"/>
    <x v="1"/>
  </r>
  <r>
    <x v="25"/>
    <d v="2026-01-26T00:00:00"/>
    <s v="Ctrl"/>
    <x v="7"/>
    <s v="SangMu"/>
    <s v="Bank"/>
    <x v="2"/>
    <n v="-200000"/>
    <b v="1"/>
    <n v="-200000"/>
    <x v="0"/>
    <s v="Assets"/>
    <s v="Cash alike"/>
    <x v="0"/>
    <x v="0"/>
    <x v="0"/>
    <x v="0"/>
    <x v="2"/>
    <x v="0"/>
    <x v="1"/>
    <x v="1"/>
  </r>
  <r>
    <x v="25"/>
    <d v="2026-01-26T00:00:00"/>
    <s v="Ctrl"/>
    <x v="7"/>
    <s v="CYY-Qi"/>
    <s v="Bank"/>
    <x v="1"/>
    <m/>
    <b v="0"/>
    <n v="0"/>
    <x v="0"/>
    <s v="Assets"/>
    <s v="Cash alike"/>
    <x v="0"/>
    <x v="0"/>
    <x v="0"/>
    <x v="0"/>
    <x v="1"/>
    <x v="0"/>
    <x v="1"/>
    <x v="1"/>
  </r>
  <r>
    <x v="26"/>
    <d v="2026-01-27T00:00:00"/>
    <s v="Online"/>
    <x v="4"/>
    <s v="SangMu"/>
    <s v="Order"/>
    <x v="27"/>
    <n v="37000"/>
    <b v="1"/>
    <n v="37000"/>
    <x v="0"/>
    <s v="Assets"/>
    <s v="Prep-Sub"/>
    <x v="2"/>
    <x v="1"/>
    <x v="2"/>
    <x v="6"/>
    <x v="2"/>
    <x v="2"/>
    <x v="1"/>
    <x v="1"/>
  </r>
  <r>
    <x v="26"/>
    <d v="2026-01-27T00:00:00"/>
    <s v="Online"/>
    <x v="4"/>
    <s v="SangMu"/>
    <s v="Bank"/>
    <x v="2"/>
    <n v="-37000"/>
    <b v="1"/>
    <n v="-37000"/>
    <x v="0"/>
    <s v="Assets"/>
    <s v="Cash alike"/>
    <x v="2"/>
    <x v="1"/>
    <x v="0"/>
    <x v="0"/>
    <x v="2"/>
    <x v="2"/>
    <x v="1"/>
    <x v="1"/>
  </r>
  <r>
    <x v="27"/>
    <d v="2026-01-27T00:00:00"/>
    <s v="Online"/>
    <x v="12"/>
    <s v="SangMu"/>
    <s v="ToTax"/>
    <x v="44"/>
    <n v="4400.6000000000004"/>
    <b v="1"/>
    <n v="-4400.6000000000004"/>
    <x v="1"/>
    <s v="Liability"/>
    <s v="Rec-Pay"/>
    <x v="3"/>
    <x v="1"/>
    <x v="1"/>
    <x v="11"/>
    <x v="2"/>
    <x v="2"/>
    <x v="1"/>
    <x v="1"/>
  </r>
  <r>
    <x v="28"/>
    <d v="2026-01-30T00:00:00"/>
    <s v="Online"/>
    <x v="4"/>
    <s v="SangMu"/>
    <s v="Order"/>
    <x v="27"/>
    <n v="53395"/>
    <b v="1"/>
    <n v="53395"/>
    <x v="0"/>
    <s v="Assets"/>
    <s v="Prep-Sub"/>
    <x v="2"/>
    <x v="1"/>
    <x v="2"/>
    <x v="6"/>
    <x v="2"/>
    <x v="2"/>
    <x v="1"/>
    <x v="1"/>
  </r>
  <r>
    <x v="28"/>
    <d v="2026-01-30T00:00:00"/>
    <s v="Online"/>
    <x v="4"/>
    <s v="SangMu"/>
    <s v="Bank"/>
    <x v="2"/>
    <n v="-53395"/>
    <b v="1"/>
    <n v="-53395"/>
    <x v="0"/>
    <s v="Assets"/>
    <s v="Cash alike"/>
    <x v="2"/>
    <x v="1"/>
    <x v="0"/>
    <x v="0"/>
    <x v="2"/>
    <x v="2"/>
    <x v="1"/>
    <x v="1"/>
  </r>
  <r>
    <x v="29"/>
    <d v="2026-01-30T00:00:00"/>
    <s v="Online"/>
    <x v="5"/>
    <s v="SangMu"/>
    <s v="Curr"/>
    <x v="30"/>
    <n v="77395"/>
    <b v="1"/>
    <n v="77395"/>
    <x v="0"/>
    <s v="Assets"/>
    <s v="Invtr"/>
    <x v="2"/>
    <x v="1"/>
    <x v="3"/>
    <x v="7"/>
    <x v="2"/>
    <x v="2"/>
    <x v="1"/>
    <x v="1"/>
  </r>
  <r>
    <x v="29"/>
    <d v="2026-01-30T00:00:00"/>
    <s v="Online"/>
    <x v="5"/>
    <s v="SangMu"/>
    <s v="Order"/>
    <x v="27"/>
    <n v="-77395"/>
    <b v="1"/>
    <n v="-77395"/>
    <x v="0"/>
    <s v="Assets"/>
    <s v="Prep-Sub"/>
    <x v="2"/>
    <x v="1"/>
    <x v="2"/>
    <x v="6"/>
    <x v="2"/>
    <x v="2"/>
    <x v="1"/>
    <x v="1"/>
  </r>
  <r>
    <x v="30"/>
    <d v="2026-01-30T00:00:00"/>
    <s v="Online"/>
    <x v="4"/>
    <s v="SangMu"/>
    <s v="Order"/>
    <x v="27"/>
    <n v="40993"/>
    <b v="1"/>
    <n v="40993"/>
    <x v="0"/>
    <s v="Assets"/>
    <s v="Prep-Sub"/>
    <x v="2"/>
    <x v="1"/>
    <x v="2"/>
    <x v="6"/>
    <x v="2"/>
    <x v="2"/>
    <x v="1"/>
    <x v="1"/>
  </r>
  <r>
    <x v="30"/>
    <d v="2026-01-30T00:00:00"/>
    <s v="Online"/>
    <x v="4"/>
    <s v="SangMu"/>
    <s v="Bank"/>
    <x v="2"/>
    <n v="-40993"/>
    <b v="1"/>
    <n v="-40993"/>
    <x v="0"/>
    <s v="Assets"/>
    <s v="Cash alike"/>
    <x v="2"/>
    <x v="1"/>
    <x v="0"/>
    <x v="0"/>
    <x v="2"/>
    <x v="2"/>
    <x v="1"/>
    <x v="1"/>
  </r>
  <r>
    <x v="31"/>
    <d v="2026-01-30T00:00:00"/>
    <s v="Online"/>
    <x v="5"/>
    <s v="SangMu"/>
    <s v="Curr"/>
    <x v="30"/>
    <n v="40993"/>
    <b v="1"/>
    <n v="40993"/>
    <x v="0"/>
    <s v="Assets"/>
    <s v="Invtr"/>
    <x v="2"/>
    <x v="1"/>
    <x v="3"/>
    <x v="7"/>
    <x v="2"/>
    <x v="2"/>
    <x v="1"/>
    <x v="1"/>
  </r>
  <r>
    <x v="31"/>
    <d v="2026-01-30T00:00:00"/>
    <s v="Online"/>
    <x v="5"/>
    <s v="SangMu"/>
    <s v="Order"/>
    <x v="27"/>
    <n v="-40993"/>
    <b v="1"/>
    <n v="-40993"/>
    <x v="0"/>
    <s v="Assets"/>
    <s v="Prep-Sub"/>
    <x v="2"/>
    <x v="1"/>
    <x v="2"/>
    <x v="6"/>
    <x v="2"/>
    <x v="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20B45-711D-46C3-859E-54BD320BCD18}" name="debug_pvt_item" cacheId="779" applyNumberFormats="0" applyBorderFormats="0" applyFontFormats="0" applyPatternFormats="0" applyAlignmentFormats="0" applyWidthHeightFormats="1" dataCaption="Values" grandTotalCaption="End" updatedVersion="8" minRefreshableVersion="3" itemPrintTitles="1" mergeItem="1" createdVersion="8" indent="0" outline="1" outlineData="1" multipleFieldFilters="0">
  <location ref="F1:I9" firstHeaderRow="1" firstDataRow="2" firstDataCol="1"/>
  <pivotFields count="21">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umFmtId="164" showAll="0"/>
    <pivotField showAll="0"/>
    <pivotField axis="axisRow" showAll="0">
      <items count="19">
        <item sd="0" m="1" x="16"/>
        <item sd="0" x="5"/>
        <item sd="0" x="2"/>
        <item sd="0" m="1" x="14"/>
        <item sd="0" x="3"/>
        <item sd="0" m="1" x="15"/>
        <item sd="0" x="6"/>
        <item sd="0" x="8"/>
        <item sd="0" x="4"/>
        <item sd="0" x="0"/>
        <item sd="0" x="1"/>
        <item sd="0" x="7"/>
        <item sd="0" x="11"/>
        <item sd="0" x="9"/>
        <item sd="0" m="1" x="17"/>
        <item sd="0" x="12"/>
        <item m="1" x="13"/>
        <item x="10"/>
        <item t="default" sd="0"/>
      </items>
    </pivotField>
    <pivotField showAll="0"/>
    <pivotField showAll="0"/>
    <pivotField axis="axisRow" showAll="0">
      <items count="85">
        <item sd="0" m="1" x="77"/>
        <item sd="0" m="1" x="82"/>
        <item sd="0" x="51"/>
        <item sd="0" m="1" x="80"/>
        <item sd="0" x="9"/>
        <item sd="0" x="5"/>
        <item sd="0" x="7"/>
        <item sd="0" x="17"/>
        <item sd="0" m="1" x="64"/>
        <item sd="0" x="55"/>
        <item sd="0" m="1" x="81"/>
        <item sd="0" x="16"/>
        <item sd="0" x="0"/>
        <item sd="0" x="18"/>
        <item sd="0" x="4"/>
        <item sd="0" x="6"/>
        <item sd="0" x="3"/>
        <item sd="0" x="12"/>
        <item sd="0" x="8"/>
        <item sd="0" x="1"/>
        <item sd="0" x="19"/>
        <item sd="0" x="2"/>
        <item sd="0" m="1" x="83"/>
        <item sd="0" m="1" x="76"/>
        <item sd="0" m="1" x="75"/>
        <item sd="0" x="10"/>
        <item sd="0" x="14"/>
        <item sd="0" x="11"/>
        <item sd="0" x="15"/>
        <item sd="0" m="1" x="74"/>
        <item sd="0" m="1" x="73"/>
        <item sd="0" m="1" x="78"/>
        <item sd="0" m="1" x="60"/>
        <item sd="0" x="13"/>
        <item sd="0" x="54"/>
        <item sd="0" m="1" x="79"/>
        <item sd="0" x="56"/>
        <item sd="0" x="21"/>
        <item sd="0" x="36"/>
        <item sd="0" m="1" x="61"/>
        <item sd="0" x="28"/>
        <item sd="0" x="37"/>
        <item sd="0" x="48"/>
        <item sd="0" x="22"/>
        <item sd="0" x="24"/>
        <item sd="0" m="1" x="67"/>
        <item sd="0" x="49"/>
        <item sd="0" x="25"/>
        <item sd="0" m="1" x="71"/>
        <item sd="0" x="29"/>
        <item sd="0" x="44"/>
        <item m="1" x="59"/>
        <item sd="0" m="1" x="69"/>
        <item sd="0" x="41"/>
        <item sd="0" x="40"/>
        <item sd="0" x="52"/>
        <item sd="0" x="20"/>
        <item sd="0" x="42"/>
        <item sd="0" x="43"/>
        <item sd="0" x="47"/>
        <item sd="0" m="1" x="72"/>
        <item sd="0" x="31"/>
        <item sd="0" m="1" x="65"/>
        <item sd="0" x="32"/>
        <item sd="0" x="33"/>
        <item x="30"/>
        <item sd="0" x="53"/>
        <item sd="0" x="46"/>
        <item sd="0" x="23"/>
        <item sd="0" x="34"/>
        <item sd="0" m="1" x="66"/>
        <item sd="0" x="35"/>
        <item sd="0" x="50"/>
        <item sd="0" m="1" x="63"/>
        <item sd="0" x="39"/>
        <item sd="0" m="1" x="62"/>
        <item sd="0" x="38"/>
        <item m="1" x="58"/>
        <item sd="0" m="1" x="70"/>
        <item sd="0" x="45"/>
        <item x="27"/>
        <item sd="0" x="26"/>
        <item sd="0" m="1" x="68"/>
        <item sd="0" m="1" x="57"/>
        <item t="default" sd="0"/>
      </items>
    </pivotField>
    <pivotField dataField="1" numFmtId="40" showAll="0"/>
    <pivotField showAll="0"/>
    <pivotField numFmtId="38" showAll="0"/>
    <pivotField showAll="0"/>
    <pivotField showAll="0"/>
    <pivotField showAll="0"/>
    <pivotField showAll="0"/>
    <pivotField showAll="0"/>
    <pivotField showAll="0">
      <items count="14">
        <item h="1" m="1" x="11"/>
        <item h="1" m="1" x="10"/>
        <item h="1" x="0"/>
        <item h="1" m="1" x="8"/>
        <item h="1" x="1"/>
        <item x="2"/>
        <item h="1" x="3"/>
        <item h="1" x="4"/>
        <item h="1" x="5"/>
        <item h="1" m="1" x="9"/>
        <item h="1" x="7"/>
        <item h="1" x="6"/>
        <item h="1" m="1" x="12"/>
        <item t="default"/>
      </items>
    </pivotField>
    <pivotField axis="axisRow" showAll="0">
      <items count="24">
        <item x="14"/>
        <item x="16"/>
        <item x="17"/>
        <item x="5"/>
        <item x="10"/>
        <item x="13"/>
        <item x="11"/>
        <item x="12"/>
        <item m="1" x="22"/>
        <item x="2"/>
        <item x="3"/>
        <item m="1" x="21"/>
        <item x="7"/>
        <item x="18"/>
        <item m="1" x="19"/>
        <item x="8"/>
        <item x="4"/>
        <item x="9"/>
        <item x="1"/>
        <item x="6"/>
        <item x="0"/>
        <item x="15"/>
        <item m="1" x="20"/>
        <item t="default"/>
      </items>
    </pivotField>
    <pivotField axis="axisRow" showAll="0">
      <items count="15">
        <item h="1" m="1" x="13"/>
        <item h="1" x="1"/>
        <item h="1" x="4"/>
        <item h="1" x="10"/>
        <item h="1" x="9"/>
        <item h="1" x="12"/>
        <item x="2"/>
        <item h="1" x="3"/>
        <item h="1" x="6"/>
        <item h="1" x="7"/>
        <item h="1" x="8"/>
        <item h="1" x="0"/>
        <item h="1" x="5"/>
        <item h="1" x="11"/>
        <item t="default"/>
      </items>
    </pivotField>
    <pivotField showAll="0"/>
    <pivotField showAll="0"/>
    <pivotField axis="axisCol" showAll="0">
      <items count="4">
        <item x="0"/>
        <item x="1"/>
        <item m="1" x="2"/>
        <item t="default"/>
      </items>
    </pivotField>
  </pivotFields>
  <rowFields count="5">
    <field x="17"/>
    <field x="16"/>
    <field x="6"/>
    <field x="3"/>
    <field x="0"/>
  </rowFields>
  <rowItems count="7">
    <i>
      <x v="6"/>
    </i>
    <i r="1">
      <x v="19"/>
    </i>
    <i r="2">
      <x v="80"/>
    </i>
    <i r="3">
      <x v="1"/>
    </i>
    <i r="3">
      <x v="8"/>
    </i>
    <i r="3">
      <x v="9"/>
    </i>
    <i t="grand">
      <x/>
    </i>
  </rowItems>
  <colFields count="1">
    <field x="20"/>
  </colFields>
  <colItems count="3">
    <i>
      <x/>
    </i>
    <i>
      <x v="1"/>
    </i>
    <i t="grand">
      <x/>
    </i>
  </colItems>
  <dataFields count="1">
    <dataField name="Sum of Bal" fld="7" baseField="0" baseItem="0" numFmtId="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9B1638-C3EE-4F0C-BD2B-4B8B8D0C2A54}" name="PivotTable2" cacheId="779" applyNumberFormats="0" applyBorderFormats="0" applyFontFormats="0" applyPatternFormats="0" applyAlignmentFormats="0" applyWidthHeightFormats="1" dataCaption="Values" updatedVersion="8" minRefreshableVersion="3" itemPrintTitles="1" mergeItem="1" createdVersion="8" indent="0" outline="1" outlineData="1" multipleFieldFilters="0">
  <location ref="L3:P16" firstHeaderRow="1" firstDataRow="2" firstDataCol="1" rowPageCount="1" colPageCount="1"/>
  <pivotFields count="21">
    <pivotField axis="axisRow" showAll="0" measureFilter="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umFmtId="164" showAll="0"/>
    <pivotField showAll="0"/>
    <pivotField axis="axisRow" showAll="0">
      <items count="19">
        <item sd="0" x="5"/>
        <item sd="0" x="2"/>
        <item sd="0" m="1" x="14"/>
        <item sd="0" x="3"/>
        <item sd="0" x="8"/>
        <item sd="0" m="1" x="15"/>
        <item sd="0" x="0"/>
        <item sd="0" x="4"/>
        <item sd="0" x="1"/>
        <item sd="0" x="7"/>
        <item sd="0" x="11"/>
        <item sd="0" x="9"/>
        <item sd="0" m="1" x="17"/>
        <item sd="0" x="12"/>
        <item sd="0" m="1" x="16"/>
        <item sd="0" x="6"/>
        <item sd="0" m="1" x="13"/>
        <item x="10"/>
        <item t="default" sd="0"/>
      </items>
    </pivotField>
    <pivotField showAll="0"/>
    <pivotField showAll="0"/>
    <pivotField showAll="0"/>
    <pivotField numFmtId="40" showAll="0"/>
    <pivotField showAll="0"/>
    <pivotField dataField="1" numFmtId="38" showAll="0"/>
    <pivotField showAll="0"/>
    <pivotField showAll="0"/>
    <pivotField showAll="0"/>
    <pivotField axis="axisRow" showAll="0">
      <items count="5">
        <item x="3"/>
        <item x="2"/>
        <item x="1"/>
        <item x="0"/>
        <item t="default"/>
      </items>
    </pivotField>
    <pivotField axis="axisRow" showAll="0">
      <items count="3">
        <item x="1"/>
        <item x="0"/>
        <item t="default"/>
      </items>
    </pivotField>
    <pivotField showAll="0"/>
    <pivotField showAll="0"/>
    <pivotField showAll="0"/>
    <pivotField axis="axisCol" showAll="0">
      <items count="5">
        <item m="1" x="3"/>
        <item x="2"/>
        <item x="0"/>
        <item x="1"/>
        <item t="default"/>
      </items>
    </pivotField>
    <pivotField showAll="0"/>
    <pivotField axis="axisPage" multipleItemSelectionAllowed="1" showAll="0">
      <items count="4">
        <item x="1"/>
        <item h="1" m="1" x="2"/>
        <item x="0"/>
        <item t="default"/>
      </items>
    </pivotField>
  </pivotFields>
  <rowFields count="4">
    <field x="14"/>
    <field x="13"/>
    <field x="3"/>
    <field x="0"/>
  </rowFields>
  <rowItems count="12">
    <i>
      <x/>
    </i>
    <i r="1">
      <x/>
    </i>
    <i r="2">
      <x v="11"/>
    </i>
    <i r="2">
      <x v="13"/>
    </i>
    <i r="1">
      <x v="2"/>
    </i>
    <i r="2">
      <x v="3"/>
    </i>
    <i r="2">
      <x v="4"/>
    </i>
    <i r="2">
      <x v="15"/>
    </i>
    <i>
      <x v="1"/>
    </i>
    <i r="1">
      <x v="3"/>
    </i>
    <i r="2">
      <x v="9"/>
    </i>
    <i t="grand">
      <x/>
    </i>
  </rowItems>
  <colFields count="1">
    <field x="18"/>
  </colFields>
  <colItems count="4">
    <i>
      <x v="1"/>
    </i>
    <i>
      <x v="2"/>
    </i>
    <i>
      <x v="3"/>
    </i>
    <i t="grand">
      <x/>
    </i>
  </colItems>
  <pageFields count="1">
    <pageField fld="20" hier="-1"/>
  </pageFields>
  <dataFields count="1">
    <dataField name="Sum of NetBal" fld="9" baseField="0" baseItem="0" numFmtId="38"/>
  </dataFields>
  <pivotTableStyleInfo name="PivotStyleLight16" showRowHeaders="1" showColHeaders="1" showRowStripes="0" showColStripes="0" showLastColumn="1"/>
  <filters count="1">
    <filter fld="0" type="valueNotBetween" evalOrder="-1" id="1" iMeasureFld="0">
      <autoFilter ref="A1">
        <filterColumn colId="0">
          <customFilters>
            <customFilter operator="lessThan" val="-1E-4"/>
            <customFilter operator="greaterThan" val="1E-4"/>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6B7771-E2BB-4B00-A506-AF7420A21A62}" name="PivotTable2" cacheId="779" applyNumberFormats="0" applyBorderFormats="0" applyFontFormats="0" applyPatternFormats="0" applyAlignmentFormats="0" applyWidthHeightFormats="1" dataCaption="Values" updatedVersion="8" minRefreshableVersion="3" colGrandTotals="0" itemPrintTitles="1" mergeItem="1" createdVersion="8" indent="0" outline="1" outlineData="1" multipleFieldFilters="0">
  <location ref="I3:M33" firstHeaderRow="1" firstDataRow="3" firstDataCol="1" rowPageCount="1" colPageCount="1"/>
  <pivotFields count="21">
    <pivotField showAll="0"/>
    <pivotField numFmtId="164" showAll="0"/>
    <pivotField showAll="0"/>
    <pivotField showAll="0"/>
    <pivotField showAll="0"/>
    <pivotField showAll="0"/>
    <pivotField axis="axisRow" showAll="0" measureFilter="1">
      <items count="85">
        <item m="1" x="77"/>
        <item m="1" x="82"/>
        <item x="51"/>
        <item m="1" x="80"/>
        <item x="9"/>
        <item x="5"/>
        <item x="7"/>
        <item x="17"/>
        <item m="1" x="64"/>
        <item x="54"/>
        <item x="55"/>
        <item m="1" x="81"/>
        <item x="16"/>
        <item x="0"/>
        <item x="18"/>
        <item x="4"/>
        <item x="6"/>
        <item x="3"/>
        <item x="12"/>
        <item x="8"/>
        <item x="1"/>
        <item x="19"/>
        <item x="2"/>
        <item m="1" x="83"/>
        <item m="1" x="76"/>
        <item m="1" x="75"/>
        <item x="10"/>
        <item x="14"/>
        <item x="11"/>
        <item x="15"/>
        <item m="1" x="74"/>
        <item m="1" x="73"/>
        <item m="1" x="78"/>
        <item x="13"/>
        <item m="1" x="79"/>
        <item x="56"/>
        <item x="21"/>
        <item x="36"/>
        <item m="1" x="61"/>
        <item x="28"/>
        <item x="37"/>
        <item x="48"/>
        <item x="22"/>
        <item x="24"/>
        <item m="1" x="67"/>
        <item x="49"/>
        <item x="25"/>
        <item m="1" x="71"/>
        <item x="29"/>
        <item x="44"/>
        <item m="1" x="59"/>
        <item m="1" x="69"/>
        <item x="41"/>
        <item x="40"/>
        <item x="52"/>
        <item x="20"/>
        <item x="47"/>
        <item m="1" x="72"/>
        <item x="31"/>
        <item m="1" x="65"/>
        <item x="32"/>
        <item x="33"/>
        <item x="30"/>
        <item x="53"/>
        <item x="46"/>
        <item x="23"/>
        <item x="34"/>
        <item m="1" x="66"/>
        <item x="35"/>
        <item x="50"/>
        <item m="1" x="63"/>
        <item x="39"/>
        <item m="1" x="62"/>
        <item x="38"/>
        <item m="1" x="58"/>
        <item m="1" x="70"/>
        <item x="27"/>
        <item x="26"/>
        <item m="1" x="68"/>
        <item m="1" x="57"/>
        <item m="1" x="60"/>
        <item x="42"/>
        <item x="43"/>
        <item x="45"/>
        <item t="default"/>
      </items>
    </pivotField>
    <pivotField dataField="1" numFmtId="40" showAll="0"/>
    <pivotField showAll="0"/>
    <pivotField numFmtId="38" showAll="0"/>
    <pivotField axis="axisCol" showAll="0">
      <items count="4">
        <item x="0"/>
        <item x="1"/>
        <item m="1" x="2"/>
        <item t="default"/>
      </items>
    </pivotField>
    <pivotField showAll="0"/>
    <pivotField showAll="0"/>
    <pivotField showAll="0"/>
    <pivotField showAll="0"/>
    <pivotField axis="axisRow" showAll="0" sortType="ascending">
      <items count="14">
        <item m="1" x="11"/>
        <item m="1" x="10"/>
        <item x="0"/>
        <item m="1" x="8"/>
        <item x="1"/>
        <item x="2"/>
        <item x="3"/>
        <item x="4"/>
        <item x="5"/>
        <item m="1" x="9"/>
        <item x="7"/>
        <item x="6"/>
        <item m="1" x="12"/>
        <item t="default"/>
      </items>
    </pivotField>
    <pivotField axis="axisRow" showAll="0">
      <items count="24">
        <item sd="0" x="15"/>
        <item sd="0" x="16"/>
        <item sd="0" x="17"/>
        <item sd="0" x="10"/>
        <item sd="0" x="12"/>
        <item sd="0" x="11"/>
        <item sd="0" x="13"/>
        <item sd="0" m="1" x="22"/>
        <item sd="0" x="2"/>
        <item sd="0" m="1" x="21"/>
        <item sd="0" x="7"/>
        <item sd="0" x="8"/>
        <item sd="0" x="9"/>
        <item sd="0" x="0"/>
        <item sd="0" x="1"/>
        <item sd="0" x="6"/>
        <item m="1" x="20"/>
        <item sd="0" x="5"/>
        <item sd="0" x="4"/>
        <item sd="0" x="14"/>
        <item sd="0" x="3"/>
        <item sd="0" m="1" x="19"/>
        <item sd="0" x="18"/>
        <item t="default" sd="0"/>
      </items>
    </pivotField>
    <pivotField showAll="0"/>
    <pivotField showAll="0"/>
    <pivotField axis="axisPage" showAll="0">
      <items count="4">
        <item m="1" x="2"/>
        <item x="0"/>
        <item x="1"/>
        <item t="default"/>
      </items>
    </pivotField>
    <pivotField showAll="0"/>
  </pivotFields>
  <rowFields count="3">
    <field x="15"/>
    <field x="16"/>
    <field x="6"/>
  </rowFields>
  <rowItems count="28">
    <i>
      <x v="2"/>
    </i>
    <i r="1">
      <x v="13"/>
    </i>
    <i r="1">
      <x v="14"/>
    </i>
    <i r="1">
      <x v="19"/>
    </i>
    <i>
      <x v="4"/>
    </i>
    <i r="1">
      <x v="3"/>
    </i>
    <i r="1">
      <x v="4"/>
    </i>
    <i r="1">
      <x v="5"/>
    </i>
    <i r="1">
      <x v="6"/>
    </i>
    <i r="1">
      <x v="8"/>
    </i>
    <i r="1">
      <x v="20"/>
    </i>
    <i>
      <x v="5"/>
    </i>
    <i r="1">
      <x v="15"/>
    </i>
    <i r="1">
      <x v="17"/>
    </i>
    <i r="1">
      <x v="18"/>
    </i>
    <i>
      <x v="6"/>
    </i>
    <i r="1">
      <x v="10"/>
    </i>
    <i r="1">
      <x v="22"/>
    </i>
    <i>
      <x v="7"/>
    </i>
    <i r="1">
      <x v="11"/>
    </i>
    <i>
      <x v="8"/>
    </i>
    <i r="1">
      <x v="12"/>
    </i>
    <i>
      <x v="10"/>
    </i>
    <i r="1">
      <x v="2"/>
    </i>
    <i>
      <x v="11"/>
    </i>
    <i r="1">
      <x/>
    </i>
    <i r="1">
      <x v="1"/>
    </i>
    <i t="grand">
      <x/>
    </i>
  </rowItems>
  <colFields count="2">
    <field x="10"/>
    <field x="-2"/>
  </colFields>
  <colItems count="4">
    <i>
      <x/>
      <x/>
    </i>
    <i r="1" i="1">
      <x v="1"/>
    </i>
    <i>
      <x v="1"/>
      <x/>
    </i>
    <i r="1" i="1">
      <x v="1"/>
    </i>
  </colItems>
  <pageFields count="1">
    <pageField fld="19" item="1" hier="-1"/>
  </pageFields>
  <dataFields count="2">
    <dataField name="Sum of Bal" fld="7" baseField="0" baseItem="0" numFmtId="38"/>
    <dataField name="perc" fld="7" showDataAs="percentOfCol" baseField="16" baseItem="3" numFmtId="10"/>
  </dataFields>
  <conditionalFormats count="1">
    <conditionalFormat priority="1">
      <pivotAreas count="2">
        <pivotArea type="data" outline="0" collapsedLevelsAreSubtotals="1" fieldPosition="0">
          <references count="2">
            <reference field="4294967294" count="1" selected="0">
              <x v="1"/>
            </reference>
            <reference field="10" count="1" selected="0">
              <x v="0"/>
            </reference>
          </references>
        </pivotArea>
        <pivotArea type="data" outline="0" collapsedLevelsAreSubtotals="1" fieldPosition="0">
          <references count="2">
            <reference field="4294967294" count="1" selected="0">
              <x v="1"/>
            </reference>
            <reference field="10" count="1" selected="0">
              <x v="1"/>
            </reference>
          </references>
        </pivotArea>
      </pivotAreas>
    </conditionalFormat>
  </conditionalFormats>
  <pivotTableStyleInfo name="PivotStyleLight16" showRowHeaders="1" showColHeaders="1" showRowStripes="0" showColStripes="0" showLastColumn="1"/>
  <filters count="1">
    <filter fld="6" type="valueNotBetween" evalOrder="-1" id="1" iMeasureFld="0">
      <autoFilter ref="A1">
        <filterColumn colId="0">
          <customFilters>
            <customFilter operator="lessThan" val="-1E-3"/>
            <customFilter operator="greaterThan" val="1E-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BSLv2" xr10:uid="{2240E3B7-FFF7-4A5D-954D-858B63168181}" sourceName="NameBSLv2">
  <pivotTables>
    <pivotTable tabId="4" name="debug_pvt_item"/>
  </pivotTables>
  <data>
    <tabular pivotCacheId="739966343" showMissing="0" crossFilter="showItemsWithNoData">
      <items count="13">
        <i x="0"/>
        <i x="1"/>
        <i x="2" s="1"/>
        <i x="3"/>
        <i x="4" nd="1"/>
        <i x="5" nd="1"/>
        <i x="7" nd="1"/>
        <i x="6" nd="1"/>
        <i x="11" nd="1"/>
        <i x="10" nd="1"/>
        <i x="8" nd="1"/>
        <i x="9" nd="1"/>
        <i x="1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Vehicle" xr10:uid="{78F0E533-AE52-4360-AA4D-5ED573917E86}" sourceName="NameVehicle">
  <pivotTables>
    <pivotTable tabId="4" name="debug_pvt_item"/>
  </pivotTables>
  <data>
    <tabular pivotCacheId="739966343" showMissing="0" crossFilter="showItemsWithNoData">
      <items count="14">
        <i x="1" nd="1"/>
        <i x="4"/>
        <i x="10" nd="1"/>
        <i x="9" nd="1"/>
        <i x="12" nd="1"/>
        <i x="2" s="1"/>
        <i x="3" nd="1"/>
        <i x="6"/>
        <i x="7"/>
        <i x="8" nd="1"/>
        <i x="0"/>
        <i x="5" nd="1"/>
        <i x="11"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BSLv2" xr10:uid="{F1737169-4F51-405A-9393-CCC7EBB0D9F0}" cache="Slicer_NameBSLv2" caption="NameBSLv2" columnCount="3" rowHeight="241300"/>
  <slicer name="NameVehicle" xr10:uid="{40A647C9-B039-46EB-BB8B-AB447C7D26C4}" cache="Slicer_NameVehicle" caption="NameVehicl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209837-6C83-4BBC-9E05-466D8E45337D}" name="Trx" displayName="Trx" ref="A1:G33" totalsRowShown="0" headerRowDxfId="22">
  <autoFilter ref="A1:G33" xr:uid="{07209837-6C83-4BBC-9E05-466D8E45337D}"/>
  <tableColumns count="7">
    <tableColumn id="1" xr3:uid="{F105BBBA-07BE-48EE-817A-250E3814BDFC}" name="Id"/>
    <tableColumn id="2" xr3:uid="{90198A57-84E0-4FF2-A6FA-AA81A96E49BD}" name="Date" dataDxfId="21"/>
    <tableColumn id="3" xr3:uid="{231C793D-9C6F-4B89-BC6D-1DCF5630A11C}" name="Division"/>
    <tableColumn id="4" xr3:uid="{1B3E9F40-C03A-4F2E-9F41-F9C4897D65AE}" name="Action"/>
    <tableColumn id="5" xr3:uid="{AC6C4E64-35C5-42B2-9EEB-564E7390898A}" name="IncNode"/>
    <tableColumn id="7" xr3:uid="{AD9616C7-DF9F-44F2-8FF5-D1402BFED68D}" name="Tag" dataCellStyle="Explanatory Text"/>
    <tableColumn id="6" xr3:uid="{8226D3E3-BBA5-4E7C-9525-8B6205AB704A}" name="Note" dataCellStyle="Explanatory 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3E67F7-A626-4EB3-9931-2B8E4332E50D}" name="Jnl" displayName="Jnl" ref="A1:U146" totalsRowShown="0" headerRowDxfId="20">
  <autoFilter ref="A1:U146" xr:uid="{783E67F7-A626-4EB3-9931-2B8E4332E50D}"/>
  <tableColumns count="21">
    <tableColumn id="1" xr3:uid="{71B2C84B-D5B0-48D0-AF75-7AA4E674435E}" name="TrxId" dataCellStyle="Input"/>
    <tableColumn id="2" xr3:uid="{7F3BB002-49F0-4622-91C3-EDE1BB39E037}" name="TrxDate" dataDxfId="19">
      <calculatedColumnFormula>_xlfn.XLOOKUP(Jnl[[#This Row],[TrxId]], Trx[Id], Trx[Date],,0)</calculatedColumnFormula>
    </tableColumn>
    <tableColumn id="3" xr3:uid="{5019CCD8-C251-41B8-8C65-1CECE1FEB799}" name="Division" dataDxfId="18">
      <calculatedColumnFormula>_xlfn.XLOOKUP(Jnl[[#This Row],[TrxId]], Trx[Id], Trx[Division],,0)</calculatedColumnFormula>
    </tableColumn>
    <tableColumn id="4" xr3:uid="{E7CB1B45-6F0A-4E0A-A77F-E495B0819870}" name="Action" dataDxfId="17">
      <calculatedColumnFormula>_xlfn.XLOOKUP(Jnl[[#This Row],[TrxId]], Trx[Id], Trx[Action],,0)</calculatedColumnFormula>
    </tableColumn>
    <tableColumn id="15" xr3:uid="{0610E7A0-7523-45EB-923A-5338328D8C72}" name="Vehicle" dataDxfId="16" dataCellStyle="Input"/>
    <tableColumn id="5" xr3:uid="{88A5FA68-A048-4D06-AB82-9CA2F2E65F13}" name="Acct" dataCellStyle="Input"/>
    <tableColumn id="6" xr3:uid="{8AFDC351-60CD-4DB0-A113-1B63BA458362}" name="Item" dataDxfId="15" dataCellStyle="Input"/>
    <tableColumn id="7" xr3:uid="{FB5E3CB7-3053-4DE8-9454-AD102CDEA2EE}" name="Bal" dataDxfId="14" dataCellStyle="Input"/>
    <tableColumn id="9" xr3:uid="{474871EF-24BE-4230-A2C9-7BD22A94BE52}" name="IsValid" dataDxfId="13" dataCellStyle="Note">
      <calculatedColumnFormula>AND(Jnl[[#This Row],[TrxId]]&lt;&gt;"",Jnl[[#This Row],[Acct]]&lt;&gt;"",Jnl[[#This Row],[Item]]&lt;&gt;"",ISNUMBER(Jnl[[#This Row],[Bal]]))</calculatedColumnFormula>
    </tableColumn>
    <tableColumn id="8" xr3:uid="{44F3569E-1FE6-44B2-B6E4-DAE85FBDB137}" name="NetBal" dataDxfId="12">
      <calculatedColumnFormula>IF(Jnl[[#This Row],[BSLv0]]="A",1,-1)*Jnl[[#This Row],[Bal]]</calculatedColumnFormula>
    </tableColumn>
    <tableColumn id="10" xr3:uid="{2360B888-54E4-4D46-BEE4-CFC178D7B87B}" name="BSLv0">
      <calculatedColumnFormula>_xlfn.XLOOKUP(Jnl[[#This Row],[Acct]], config_BS[Acct], config_BS[Lv0],,0)</calculatedColumnFormula>
    </tableColumn>
    <tableColumn id="11" xr3:uid="{4DE429D6-713F-4B78-B939-8CB7D3F66F5B}" name="BSLv1">
      <calculatedColumnFormula>_xlfn.XLOOKUP(Jnl[[#This Row],[Acct]], config_BS[Acct], config_BS[Lv1],,0)</calculatedColumnFormula>
    </tableColumn>
    <tableColumn id="12" xr3:uid="{D47F5251-8C65-46AE-88D2-CE9E13D4C60A}" name="BSLv2">
      <calculatedColumnFormula>_xlfn.XLOOKUP(Jnl[[#This Row],[Acct]], config_BS[Acct], config_BS[Lv2],,0)</calculatedColumnFormula>
    </tableColumn>
    <tableColumn id="13" xr3:uid="{8BD86E94-EA46-4F32-9B93-D798F39951B2}" name="IncNode">
      <calculatedColumnFormula>_xlfn.XLOOKUP(Jnl[[#This Row],[TrxId]], Trx[Id], Trx[IncNode], ,0)</calculatedColumnFormula>
    </tableColumn>
    <tableColumn id="14" xr3:uid="{47A3BD5E-32C9-4C87-A6B9-3A4E06DF4708}" name="IncType">
      <calculatedColumnFormula>_xlfn.XLOOKUP(Jnl[[#This Row],[IncNode]], config_IS[Node], config_IS[Type],,0)</calculatedColumnFormula>
    </tableColumn>
    <tableColumn id="17" xr3:uid="{59AE45B9-EF65-4833-AE4C-9F11B24D0D43}" name="NameBSLv2" dataDxfId="11">
      <calculatedColumnFormula>_xlfn.XLOOKUP(Jnl[[#This Row],[BSLv2]], dict[Key], dict[Name],,0)</calculatedColumnFormula>
    </tableColumn>
    <tableColumn id="16" xr3:uid="{C6BD57E2-40E3-4AC5-8465-4FC651B85CA5}" name="NameAcct" dataDxfId="10">
      <calculatedColumnFormula>_xlfn.XLOOKUP(Jnl[[#This Row],[Acct]], dict[Key], dict[Name],,0)</calculatedColumnFormula>
    </tableColumn>
    <tableColumn id="18" xr3:uid="{C4A7C1EE-FFA2-4B8A-966B-288D5A8071DA}" name="NameVehicle" dataDxfId="9">
      <calculatedColumnFormula>_xlfn.XLOOKUP(Jnl[[#This Row],[Vehicle]],config_vehicle[Id], config_vehicle[Name],,0)</calculatedColumnFormula>
    </tableColumn>
    <tableColumn id="21" xr3:uid="{5EA007C2-5421-4ABA-96D0-01D17C402A1D}" name="NameDiv" dataDxfId="8">
      <calculatedColumnFormula>_xlfn.XLOOKUP(Jnl[[#This Row],[Division]],config_div[Id], config_div[Name],,0)</calculatedColumnFormula>
    </tableColumn>
    <tableColumn id="19" xr3:uid="{B4F5BED1-EA69-464B-9920-B674E68208DD}" name="ScopeBS" dataDxfId="7">
      <calculatedColumnFormula>IF(Jnl[[#This Row],[TrxDate]]&lt;=stmt_BS_date_end, "In", "Out")</calculatedColumnFormula>
    </tableColumn>
    <tableColumn id="20" xr3:uid="{C499837F-35AF-463A-A79C-B7B343D3C203}" name="ScopeDebug" dataDxfId="6">
      <calculatedColumnFormula>IF(Jnl[[#This Row],[TrxDate]]&lt;debug_date_start, "prior", IF(Jnl[[#This Row],[TrxDate]]&gt;debug_date_end, "post", "curr"))</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10FA55-B813-4EE9-940D-CEF2A6B4B916}" name="config_BS" displayName="config_BS" ref="E1:H20" totalsRowShown="0" headerRowDxfId="5">
  <autoFilter ref="E1:H20" xr:uid="{D710FA55-B813-4EE9-940D-CEF2A6B4B916}"/>
  <tableColumns count="4">
    <tableColumn id="1" xr3:uid="{7EA695D1-870E-4C08-9342-BF09B98EA310}" name="Acct"/>
    <tableColumn id="2" xr3:uid="{4785D38E-57FF-472D-BE2B-62F7C8A8ED1D}" name="Lv2"/>
    <tableColumn id="3" xr3:uid="{7460FDAD-9A94-406A-990F-CA16E4C2EE37}" name="Lv1"/>
    <tableColumn id="4" xr3:uid="{E4BB113B-98C5-4CEB-B566-D92BDD17941C}" name="Lv0" dataDxfId="4">
      <calculatedColumnFormula>IF(config_BS[[#This Row],[Lv1]]="Assets", "A","LC")</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E118F9-B6DA-4BA1-A5F8-AD7436D892BF}" name="config_IS" displayName="config_IS" ref="J1:K7" totalsRowShown="0" headerRowDxfId="3">
  <autoFilter ref="J1:K7" xr:uid="{07E118F9-B6DA-4BA1-A5F8-AD7436D892BF}"/>
  <tableColumns count="2">
    <tableColumn id="1" xr3:uid="{86CD6291-3219-4E28-96CE-EB8E9F1ADA73}" name="Node"/>
    <tableColumn id="2" xr3:uid="{56CE1806-3C50-410C-9568-35AE61893952}" name="Type"/>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331B0E-5F28-455D-81F4-B5C75AC8F63C}" name="config_div" displayName="config_div" ref="M1:N7" totalsRowShown="0" headerRowDxfId="2">
  <autoFilter ref="M1:N7" xr:uid="{97331B0E-5F28-455D-81F4-B5C75AC8F63C}"/>
  <tableColumns count="2">
    <tableColumn id="1" xr3:uid="{4A0976A9-F08D-4FC3-AC46-D492AA68F7E6}" name="Id"/>
    <tableColumn id="2" xr3:uid="{67A75125-5098-44A5-B004-8A9ADBEBCBC2}" name="Name"/>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C21B85-0121-4FEF-8DDD-28E68900BCF7}" name="config_vehicle" displayName="config_vehicle" ref="P1:S14" totalsRowShown="0" headerRowDxfId="1">
  <autoFilter ref="P1:S14" xr:uid="{FAC21B85-0121-4FEF-8DDD-28E68900BCF7}"/>
  <sortState xmlns:xlrd2="http://schemas.microsoft.com/office/spreadsheetml/2017/richdata2" ref="P2:S14">
    <sortCondition ref="Q1:Q14"/>
  </sortState>
  <tableColumns count="4">
    <tableColumn id="1" xr3:uid="{D098E912-7511-4647-9CD5-C7C1669169C3}" name="Id"/>
    <tableColumn id="2" xr3:uid="{974E95FB-0778-4F98-B419-06742B044B50}" name="Type"/>
    <tableColumn id="3" xr3:uid="{91DEC52D-D61E-4133-9B24-99F150E12AB2}" name="Name"/>
    <tableColumn id="4" xr3:uid="{A1019716-CAC5-42E2-9C0F-1C7CC15D42B6}" name="Note"/>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85134C-CD11-493E-AB79-5F297888CCE6}" name="dict" displayName="dict" ref="A1:C28" totalsRowShown="0" headerRowDxfId="0">
  <autoFilter ref="A1:C28" xr:uid="{8685134C-CD11-493E-AB79-5F297888CCE6}"/>
  <tableColumns count="3">
    <tableColumn id="1" xr3:uid="{E5A0AD05-34DE-4725-99E6-CE7AC7B8B5EA}" name="Key"/>
    <tableColumn id="2" xr3:uid="{A2DB06A5-0227-401C-AAF2-C0379C66B63D}" name="Name"/>
    <tableColumn id="3" xr3:uid="{81FCB9D4-DC28-4310-A11A-2DB14301A0A7}" name="Cas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6-01-29T02:57:36.48" personId="{D5AF6952-DFB4-4EB9-91BF-DCBDFE03949B}" id="{734D34D1-A3B4-419C-91E5-2415CC7E1FF7}">
    <text>载体</text>
  </threadedComment>
</ThreadedComments>
</file>

<file path=xl/threadedComments/threadedComment2.xml><?xml version="1.0" encoding="utf-8"?>
<ThreadedComments xmlns="http://schemas.microsoft.com/office/spreadsheetml/2018/threadedcomments" xmlns:x="http://schemas.openxmlformats.org/spreadsheetml/2006/main">
  <threadedComment ref="K2" dT="2026-01-29T02:48:58.36" personId="{D5AF6952-DFB4-4EB9-91BF-DCBDFE03949B}" id="{E68F4AA3-3D0A-4E51-9DB5-71D163687642}">
    <text xml:space="preserve">Operating经营性经常事件 </text>
  </threadedComment>
  <threadedComment ref="F5" dT="2026-01-31T03:00:24.32" personId="{5762D9ED-58C9-4E54-8B3E-500022F66094}" id="{60652D12-341E-458F-9404-85AE92F8BD45}">
    <text>Receivables and Payables 应付 应收</text>
  </threadedComment>
  <threadedComment ref="J5" dT="2026-01-29T03:22:53.83" personId="{D5AF6952-DFB4-4EB9-91BF-DCBDFE03949B}" id="{5D615C4E-EBE7-4C5B-AFF7-7BFD865942AD}">
    <text>资产处置损益</text>
  </threadedComment>
  <threadedComment ref="J6" dT="2026-01-29T03:23:31.07" personId="{D5AF6952-DFB4-4EB9-91BF-DCBDFE03949B}" id="{1AB846D4-C243-49DD-BFCE-0F152034E39C}">
    <text>自主活动损益 （类似 诗与歌 这样的活动）</text>
  </threadedComment>
  <threadedComment ref="F10" dT="2026-01-29T02:41:32.49" personId="{D5AF6952-DFB4-4EB9-91BF-DCBDFE03949B}" id="{AF69EBA6-49A2-4E66-B2B5-ADDCB203CBBC}">
    <text>Inventories</text>
  </threadedComment>
  <threadedComment ref="F18" dT="2026-01-29T02:38:42.71" personId="{D5AF6952-DFB4-4EB9-91BF-DCBDFE03949B}" id="{89049742-F5D2-410B-B198-12AF77C32560}">
    <text>Reserve 准备金</text>
  </threadedComment>
  <threadedComment ref="E19" dT="2026-01-29T02:18:08.23" personId="{D5AF6952-DFB4-4EB9-91BF-DCBDFE03949B}" id="{8D1C1E60-2EA0-4CC8-8F9F-A8A7E37ADBA1}">
    <text xml:space="preserve">Additional Paid-In Capital </text>
  </threadedComment>
  <threadedComment ref="E19" dT="2026-01-31T03:01:08.25" personId="{5762D9ED-58C9-4E54-8B3E-500022F66094}" id="{9E8D9125-D17F-41F2-BC54-4C5F82000D86}" parentId="{8D1C1E60-2EA0-4CC8-8F9F-A8A7E37ADBA1}">
    <text>差不多是 资本公积</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7" Type="http://schemas.microsoft.com/office/2017/10/relationships/threadedComment" Target="../threadedComments/threadedComment2.xml"/><Relationship Id="rId2" Type="http://schemas.openxmlformats.org/officeDocument/2006/relationships/table" Target="../tables/table3.xml"/><Relationship Id="rId1" Type="http://schemas.openxmlformats.org/officeDocument/2006/relationships/vmlDrawing" Target="../drawings/vmlDrawing2.vml"/><Relationship Id="rId6" Type="http://schemas.openxmlformats.org/officeDocument/2006/relationships/comments" Target="../comments2.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C9BAA-A65D-4107-9786-832CAE980D1B}">
  <sheetPr codeName="Sheet2">
    <tabColor theme="4" tint="0.39997558519241921"/>
  </sheetPr>
  <dimension ref="A1:G33"/>
  <sheetViews>
    <sheetView zoomScaleNormal="100" workbookViewId="0">
      <selection activeCell="F7" sqref="F7"/>
    </sheetView>
  </sheetViews>
  <sheetFormatPr defaultRowHeight="15"/>
  <cols>
    <col min="1" max="1" width="9.5703125" customWidth="1"/>
    <col min="2" max="2" width="9.7109375" style="23" customWidth="1"/>
    <col min="3" max="3" width="11.7109375" customWidth="1"/>
    <col min="4" max="4" width="13.42578125" customWidth="1"/>
    <col min="5" max="5" width="14.28515625" customWidth="1"/>
    <col min="6" max="6" width="16.140625" customWidth="1"/>
    <col min="7" max="7" width="39" customWidth="1"/>
  </cols>
  <sheetData>
    <row r="1" spans="1:7">
      <c r="A1" s="5" t="s">
        <v>28</v>
      </c>
      <c r="B1" s="22" t="s">
        <v>38</v>
      </c>
      <c r="C1" s="5" t="s">
        <v>39</v>
      </c>
      <c r="D1" s="5" t="s">
        <v>40</v>
      </c>
      <c r="E1" s="5" t="s">
        <v>41</v>
      </c>
      <c r="F1" s="5" t="s">
        <v>224</v>
      </c>
      <c r="G1" s="5" t="s">
        <v>32</v>
      </c>
    </row>
    <row r="2" spans="1:7">
      <c r="A2" t="s">
        <v>249</v>
      </c>
      <c r="B2" s="6">
        <v>46022</v>
      </c>
      <c r="C2" t="s">
        <v>37</v>
      </c>
      <c r="D2" t="s">
        <v>261</v>
      </c>
      <c r="E2" t="s">
        <v>25</v>
      </c>
      <c r="F2" s="2"/>
      <c r="G2" s="2" t="s">
        <v>262</v>
      </c>
    </row>
    <row r="3" spans="1:7">
      <c r="A3" t="s">
        <v>250</v>
      </c>
      <c r="B3" s="6">
        <v>46022</v>
      </c>
      <c r="C3" t="s">
        <v>37</v>
      </c>
      <c r="D3" t="s">
        <v>263</v>
      </c>
      <c r="E3" t="s">
        <v>25</v>
      </c>
      <c r="F3" s="2" t="s">
        <v>223</v>
      </c>
      <c r="G3" s="2" t="s">
        <v>225</v>
      </c>
    </row>
    <row r="4" spans="1:7">
      <c r="A4" t="s">
        <v>251</v>
      </c>
      <c r="B4" s="6">
        <v>46022</v>
      </c>
      <c r="C4" t="s">
        <v>37</v>
      </c>
      <c r="D4" t="s">
        <v>264</v>
      </c>
      <c r="E4" t="s">
        <v>25</v>
      </c>
      <c r="F4" s="2" t="s">
        <v>223</v>
      </c>
      <c r="G4" s="2" t="s">
        <v>265</v>
      </c>
    </row>
    <row r="5" spans="1:7">
      <c r="A5" t="s">
        <v>266</v>
      </c>
      <c r="B5" s="6">
        <v>46023</v>
      </c>
      <c r="C5" t="s">
        <v>35</v>
      </c>
      <c r="D5" t="s">
        <v>252</v>
      </c>
      <c r="E5" t="s">
        <v>24</v>
      </c>
      <c r="F5" s="2"/>
      <c r="G5" s="2" t="s">
        <v>301</v>
      </c>
    </row>
    <row r="6" spans="1:7">
      <c r="A6" t="s">
        <v>267</v>
      </c>
      <c r="B6" s="6">
        <v>46027</v>
      </c>
      <c r="C6" t="s">
        <v>313</v>
      </c>
      <c r="D6" t="s">
        <v>302</v>
      </c>
      <c r="E6" t="s">
        <v>23</v>
      </c>
      <c r="F6" s="2"/>
      <c r="G6" s="2"/>
    </row>
    <row r="7" spans="1:7">
      <c r="A7" s="36" t="s">
        <v>268</v>
      </c>
      <c r="B7" s="37">
        <v>46027</v>
      </c>
      <c r="C7" s="36" t="s">
        <v>313</v>
      </c>
      <c r="D7" s="36" t="s">
        <v>298</v>
      </c>
      <c r="E7" s="36" t="s">
        <v>23</v>
      </c>
      <c r="F7" s="36"/>
      <c r="G7" s="36" t="s">
        <v>299</v>
      </c>
    </row>
    <row r="8" spans="1:7">
      <c r="A8" t="s">
        <v>269</v>
      </c>
      <c r="B8" s="6">
        <v>46028</v>
      </c>
      <c r="C8" t="s">
        <v>35</v>
      </c>
      <c r="D8" t="s">
        <v>321</v>
      </c>
      <c r="E8" t="s">
        <v>24</v>
      </c>
      <c r="F8" s="2"/>
      <c r="G8" s="2"/>
    </row>
    <row r="9" spans="1:7">
      <c r="A9" t="s">
        <v>270</v>
      </c>
      <c r="B9" s="6">
        <v>46029</v>
      </c>
      <c r="C9" t="s">
        <v>37</v>
      </c>
      <c r="D9" t="s">
        <v>254</v>
      </c>
      <c r="E9" t="s">
        <v>25</v>
      </c>
      <c r="F9" s="2"/>
      <c r="G9" s="2"/>
    </row>
    <row r="10" spans="1:7">
      <c r="A10" t="s">
        <v>271</v>
      </c>
      <c r="B10" s="6">
        <v>46029</v>
      </c>
      <c r="C10" t="s">
        <v>313</v>
      </c>
      <c r="D10" t="s">
        <v>302</v>
      </c>
      <c r="E10" t="s">
        <v>23</v>
      </c>
      <c r="F10" s="2"/>
      <c r="G10" s="2"/>
    </row>
    <row r="11" spans="1:7">
      <c r="A11" t="s">
        <v>272</v>
      </c>
      <c r="B11" s="6">
        <v>46034</v>
      </c>
      <c r="C11" t="s">
        <v>37</v>
      </c>
      <c r="D11" t="s">
        <v>303</v>
      </c>
      <c r="E11" t="s">
        <v>24</v>
      </c>
      <c r="F11" s="2"/>
      <c r="G11" s="2" t="s">
        <v>300</v>
      </c>
    </row>
    <row r="12" spans="1:7">
      <c r="A12" t="s">
        <v>273</v>
      </c>
      <c r="B12" s="6">
        <v>46034</v>
      </c>
      <c r="C12" t="s">
        <v>37</v>
      </c>
      <c r="D12" t="s">
        <v>303</v>
      </c>
      <c r="E12" t="s">
        <v>24</v>
      </c>
      <c r="F12" s="2"/>
      <c r="G12" s="2"/>
    </row>
    <row r="13" spans="1:7">
      <c r="A13" t="s">
        <v>274</v>
      </c>
      <c r="B13" s="6">
        <v>46034</v>
      </c>
      <c r="C13" t="s">
        <v>37</v>
      </c>
      <c r="D13" t="s">
        <v>303</v>
      </c>
      <c r="E13" t="s">
        <v>24</v>
      </c>
      <c r="F13" s="2"/>
      <c r="G13" s="2"/>
    </row>
    <row r="14" spans="1:7">
      <c r="A14" t="s">
        <v>275</v>
      </c>
      <c r="B14" s="6">
        <v>46034</v>
      </c>
      <c r="C14" t="s">
        <v>35</v>
      </c>
      <c r="D14" t="s">
        <v>252</v>
      </c>
      <c r="E14" t="s">
        <v>24</v>
      </c>
      <c r="F14" s="2"/>
      <c r="G14" s="2" t="s">
        <v>301</v>
      </c>
    </row>
    <row r="15" spans="1:7">
      <c r="A15" t="s">
        <v>276</v>
      </c>
      <c r="B15" s="6">
        <v>46034</v>
      </c>
      <c r="C15" t="s">
        <v>37</v>
      </c>
      <c r="D15" t="s">
        <v>303</v>
      </c>
      <c r="E15" t="s">
        <v>24</v>
      </c>
      <c r="F15" s="2"/>
      <c r="G15" s="2" t="s">
        <v>256</v>
      </c>
    </row>
    <row r="16" spans="1:7">
      <c r="A16" t="s">
        <v>277</v>
      </c>
      <c r="B16" s="6">
        <v>46036</v>
      </c>
      <c r="C16" t="s">
        <v>313</v>
      </c>
      <c r="D16" t="s">
        <v>302</v>
      </c>
      <c r="E16" t="s">
        <v>23</v>
      </c>
      <c r="F16" s="2"/>
      <c r="G16" s="2"/>
    </row>
    <row r="17" spans="1:7">
      <c r="A17" t="s">
        <v>278</v>
      </c>
      <c r="B17" s="6">
        <v>46036</v>
      </c>
      <c r="C17" t="s">
        <v>313</v>
      </c>
      <c r="D17" t="s">
        <v>298</v>
      </c>
      <c r="E17" t="s">
        <v>23</v>
      </c>
      <c r="F17" s="2"/>
      <c r="G17" s="2"/>
    </row>
    <row r="18" spans="1:7">
      <c r="A18" t="s">
        <v>279</v>
      </c>
      <c r="B18" s="6">
        <v>46041</v>
      </c>
      <c r="C18" t="s">
        <v>313</v>
      </c>
      <c r="D18" t="s">
        <v>302</v>
      </c>
      <c r="E18" t="s">
        <v>23</v>
      </c>
      <c r="F18" s="2"/>
      <c r="G18" s="2"/>
    </row>
    <row r="19" spans="1:7">
      <c r="A19" t="s">
        <v>280</v>
      </c>
      <c r="B19" s="6">
        <v>46041</v>
      </c>
      <c r="C19" t="s">
        <v>313</v>
      </c>
      <c r="D19" t="s">
        <v>298</v>
      </c>
      <c r="E19" t="s">
        <v>23</v>
      </c>
      <c r="F19" s="2"/>
      <c r="G19" s="2"/>
    </row>
    <row r="20" spans="1:7">
      <c r="A20" t="s">
        <v>281</v>
      </c>
      <c r="B20" s="6">
        <v>46041</v>
      </c>
      <c r="C20" t="s">
        <v>313</v>
      </c>
      <c r="D20" t="s">
        <v>255</v>
      </c>
      <c r="E20" t="s">
        <v>22</v>
      </c>
      <c r="F20" s="2"/>
      <c r="G20" s="2" t="s">
        <v>257</v>
      </c>
    </row>
    <row r="21" spans="1:7">
      <c r="A21" t="s">
        <v>282</v>
      </c>
      <c r="B21" s="6">
        <v>46041</v>
      </c>
      <c r="C21" t="s">
        <v>313</v>
      </c>
      <c r="D21" t="s">
        <v>255</v>
      </c>
      <c r="E21" t="s">
        <v>22</v>
      </c>
      <c r="F21" s="2"/>
      <c r="G21" s="2" t="s">
        <v>258</v>
      </c>
    </row>
    <row r="22" spans="1:7">
      <c r="A22" t="s">
        <v>283</v>
      </c>
      <c r="B22" s="6">
        <v>46042</v>
      </c>
      <c r="C22" t="s">
        <v>313</v>
      </c>
      <c r="D22" t="s">
        <v>302</v>
      </c>
      <c r="E22" t="s">
        <v>23</v>
      </c>
      <c r="F22" s="2"/>
      <c r="G22" s="2"/>
    </row>
    <row r="23" spans="1:7">
      <c r="A23" t="s">
        <v>284</v>
      </c>
      <c r="B23" s="6">
        <v>46043</v>
      </c>
      <c r="C23" t="s">
        <v>37</v>
      </c>
      <c r="D23" t="s">
        <v>322</v>
      </c>
      <c r="E23" t="s">
        <v>25</v>
      </c>
      <c r="F23" s="2"/>
      <c r="G23" s="2" t="s">
        <v>259</v>
      </c>
    </row>
    <row r="24" spans="1:7">
      <c r="A24" t="s">
        <v>285</v>
      </c>
      <c r="B24" s="6">
        <v>46043</v>
      </c>
      <c r="C24" t="s">
        <v>37</v>
      </c>
      <c r="D24" t="s">
        <v>254</v>
      </c>
      <c r="E24" t="s">
        <v>25</v>
      </c>
      <c r="F24" s="2"/>
      <c r="G24" s="2" t="s">
        <v>260</v>
      </c>
    </row>
    <row r="25" spans="1:7">
      <c r="A25" t="s">
        <v>286</v>
      </c>
      <c r="B25" s="6">
        <v>46045</v>
      </c>
      <c r="C25" t="s">
        <v>313</v>
      </c>
      <c r="D25" t="s">
        <v>253</v>
      </c>
      <c r="E25" t="s">
        <v>23</v>
      </c>
      <c r="F25" s="2"/>
      <c r="G25" s="2"/>
    </row>
    <row r="26" spans="1:7">
      <c r="A26" t="s">
        <v>287</v>
      </c>
      <c r="B26" s="6">
        <v>46045</v>
      </c>
      <c r="C26" t="s">
        <v>35</v>
      </c>
      <c r="D26" t="s">
        <v>252</v>
      </c>
      <c r="E26" t="s">
        <v>24</v>
      </c>
      <c r="F26" s="2"/>
      <c r="G26" s="2" t="s">
        <v>301</v>
      </c>
    </row>
    <row r="27" spans="1:7">
      <c r="A27" t="s">
        <v>288</v>
      </c>
      <c r="B27" s="6">
        <v>46048</v>
      </c>
      <c r="C27" t="s">
        <v>37</v>
      </c>
      <c r="D27" t="s">
        <v>254</v>
      </c>
      <c r="E27" t="s">
        <v>25</v>
      </c>
      <c r="F27" s="2"/>
      <c r="G27" s="2"/>
    </row>
    <row r="28" spans="1:7">
      <c r="A28" t="s">
        <v>289</v>
      </c>
      <c r="B28" s="6">
        <v>46049</v>
      </c>
      <c r="C28" t="s">
        <v>313</v>
      </c>
      <c r="D28" t="s">
        <v>302</v>
      </c>
      <c r="E28" t="s">
        <v>23</v>
      </c>
      <c r="F28" s="2"/>
      <c r="G28" s="2"/>
    </row>
    <row r="29" spans="1:7">
      <c r="A29" t="s">
        <v>290</v>
      </c>
      <c r="B29" s="6">
        <v>46049</v>
      </c>
      <c r="C29" t="s">
        <v>313</v>
      </c>
      <c r="D29" t="s">
        <v>314</v>
      </c>
      <c r="E29" t="s">
        <v>22</v>
      </c>
      <c r="F29" s="2"/>
      <c r="G29" s="2"/>
    </row>
    <row r="30" spans="1:7">
      <c r="A30" t="s">
        <v>291</v>
      </c>
      <c r="B30" s="6">
        <v>46052</v>
      </c>
      <c r="C30" t="s">
        <v>313</v>
      </c>
      <c r="D30" t="s">
        <v>302</v>
      </c>
      <c r="E30" t="s">
        <v>23</v>
      </c>
      <c r="F30" s="2"/>
      <c r="G30" s="2"/>
    </row>
    <row r="31" spans="1:7">
      <c r="A31" t="s">
        <v>292</v>
      </c>
      <c r="B31" s="6">
        <v>46052</v>
      </c>
      <c r="C31" t="s">
        <v>313</v>
      </c>
      <c r="D31" t="s">
        <v>298</v>
      </c>
      <c r="E31" t="s">
        <v>23</v>
      </c>
      <c r="F31" s="2"/>
      <c r="G31" s="2"/>
    </row>
    <row r="32" spans="1:7">
      <c r="A32" t="s">
        <v>293</v>
      </c>
      <c r="B32" s="6">
        <v>46052</v>
      </c>
      <c r="C32" t="s">
        <v>313</v>
      </c>
      <c r="D32" t="s">
        <v>302</v>
      </c>
      <c r="E32" t="s">
        <v>23</v>
      </c>
      <c r="F32" s="2"/>
      <c r="G32" s="2"/>
    </row>
    <row r="33" spans="1:7">
      <c r="A33" t="s">
        <v>294</v>
      </c>
      <c r="B33" s="6">
        <v>46052</v>
      </c>
      <c r="C33" t="s">
        <v>313</v>
      </c>
      <c r="D33" t="s">
        <v>298</v>
      </c>
      <c r="E33" t="s">
        <v>23</v>
      </c>
      <c r="F33" s="2"/>
      <c r="G33" s="2"/>
    </row>
  </sheetData>
  <phoneticPr fontId="5" type="noConversion"/>
  <dataValidations count="2">
    <dataValidation type="list" allowBlank="1" showInputMessage="1" showErrorMessage="1" sqref="E2:E33" xr:uid="{50238286-9FDA-4270-A137-4DEDC07F7916}">
      <formula1>INDIRECT("config_IS[Node]")</formula1>
    </dataValidation>
    <dataValidation type="list" allowBlank="1" showInputMessage="1" showErrorMessage="1" sqref="C2:C33" xr:uid="{2A9839A0-BEAC-420B-BAC2-7B57A3D95195}">
      <formula1>INDIRECT("config_div[Id]")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0F9EA-B3A0-459C-94FC-994ACB80C5A6}">
  <sheetPr codeName="Sheet3">
    <tabColor theme="4" tint="0.39997558519241921"/>
  </sheetPr>
  <dimension ref="A1:U146"/>
  <sheetViews>
    <sheetView topLeftCell="A109" zoomScaleNormal="100" workbookViewId="0">
      <selection activeCell="G130" sqref="G130"/>
    </sheetView>
  </sheetViews>
  <sheetFormatPr defaultRowHeight="15"/>
  <cols>
    <col min="1" max="1" width="7.28515625" customWidth="1"/>
    <col min="2" max="2" width="9.7109375" customWidth="1"/>
    <col min="3" max="3" width="7.28515625" customWidth="1"/>
    <col min="4" max="4" width="14.28515625" customWidth="1"/>
    <col min="5" max="5" width="12.28515625" bestFit="1" customWidth="1"/>
    <col min="6" max="6" width="12" bestFit="1" customWidth="1"/>
    <col min="7" max="7" width="18.42578125" customWidth="1"/>
    <col min="8" max="8" width="15.85546875" customWidth="1"/>
    <col min="9" max="9" width="9.5703125" customWidth="1"/>
    <col min="10" max="10" width="13.140625" customWidth="1"/>
    <col min="11" max="14" width="12.28515625" customWidth="1"/>
    <col min="15" max="15" width="12.42578125" bestFit="1" customWidth="1"/>
    <col min="16" max="16" width="14.28515625" customWidth="1"/>
    <col min="17" max="17" width="15.85546875" bestFit="1" customWidth="1"/>
    <col min="18" max="18" width="20.5703125" bestFit="1" customWidth="1"/>
    <col min="19" max="19" width="12.85546875" customWidth="1"/>
    <col min="20" max="20" width="16.5703125" bestFit="1" customWidth="1"/>
  </cols>
  <sheetData>
    <row r="1" spans="1:21">
      <c r="A1" s="5" t="s">
        <v>42</v>
      </c>
      <c r="B1" s="5" t="s">
        <v>43</v>
      </c>
      <c r="C1" s="5" t="s">
        <v>39</v>
      </c>
      <c r="D1" s="5" t="s">
        <v>40</v>
      </c>
      <c r="E1" s="5" t="s">
        <v>125</v>
      </c>
      <c r="F1" s="5" t="s">
        <v>8</v>
      </c>
      <c r="G1" s="5" t="s">
        <v>44</v>
      </c>
      <c r="H1" s="5" t="s">
        <v>45</v>
      </c>
      <c r="I1" s="5" t="s">
        <v>47</v>
      </c>
      <c r="J1" s="5" t="s">
        <v>46</v>
      </c>
      <c r="K1" s="5" t="s">
        <v>48</v>
      </c>
      <c r="L1" s="5" t="s">
        <v>49</v>
      </c>
      <c r="M1" s="5" t="s">
        <v>50</v>
      </c>
      <c r="N1" s="5" t="s">
        <v>41</v>
      </c>
      <c r="O1" s="5" t="s">
        <v>51</v>
      </c>
      <c r="P1" s="5" t="s">
        <v>190</v>
      </c>
      <c r="Q1" s="5" t="s">
        <v>189</v>
      </c>
      <c r="R1" s="5" t="s">
        <v>195</v>
      </c>
      <c r="S1" s="5" t="s">
        <v>310</v>
      </c>
      <c r="T1" s="5" t="s">
        <v>239</v>
      </c>
      <c r="U1" s="5" t="s">
        <v>306</v>
      </c>
    </row>
    <row r="2" spans="1:21">
      <c r="A2" s="10" t="s">
        <v>249</v>
      </c>
      <c r="B2" s="6">
        <f>_xlfn.XLOOKUP(Jnl[[#This Row],[TrxId]], Trx[Id], Trx[Date],,0)</f>
        <v>46022</v>
      </c>
      <c r="C2" s="6" t="str">
        <f>_xlfn.XLOOKUP(Jnl[[#This Row],[TrxId]], Trx[Id], Trx[Division],,0)</f>
        <v>Ctrl</v>
      </c>
      <c r="D2" s="6" t="str">
        <f>_xlfn.XLOOKUP(Jnl[[#This Row],[TrxId]], Trx[Id], Trx[Action],,0)</f>
        <v>结转</v>
      </c>
      <c r="E2" s="30" t="s">
        <v>82</v>
      </c>
      <c r="F2" s="10" t="s">
        <v>12</v>
      </c>
      <c r="G2" s="10" t="s">
        <v>52</v>
      </c>
      <c r="H2" s="21">
        <v>1982899.24</v>
      </c>
      <c r="I2" s="4" t="b">
        <f>AND(Jnl[[#This Row],[TrxId]]&lt;&gt;"",Jnl[[#This Row],[Acct]]&lt;&gt;"",Jnl[[#This Row],[Item]]&lt;&gt;"",ISNUMBER(Jnl[[#This Row],[Bal]]))</f>
        <v>1</v>
      </c>
      <c r="J2" s="9">
        <f>IF(Jnl[[#This Row],[BSLv0]]="A",1,-1)*Jnl[[#This Row],[Bal]]</f>
        <v>1982899.24</v>
      </c>
      <c r="K2" t="str">
        <f>_xlfn.XLOOKUP(Jnl[[#This Row],[Acct]], config_BS[Acct], config_BS[Lv0],,0)</f>
        <v>A</v>
      </c>
      <c r="L2" t="str">
        <f>_xlfn.XLOOKUP(Jnl[[#This Row],[Acct]], config_BS[Acct], config_BS[Lv1],,0)</f>
        <v>Assets</v>
      </c>
      <c r="M2" t="str">
        <f>_xlfn.XLOOKUP(Jnl[[#This Row],[Acct]], config_BS[Acct], config_BS[Lv2],,0)</f>
        <v>Cash alike</v>
      </c>
      <c r="N2" t="str">
        <f>_xlfn.XLOOKUP(Jnl[[#This Row],[TrxId]], Trx[Id], Trx[IncNode], ,0)</f>
        <v>Other</v>
      </c>
      <c r="O2" t="str">
        <f>_xlfn.XLOOKUP(Jnl[[#This Row],[IncNode]], config_IS[Node], config_IS[Type],,0)</f>
        <v>Non-Op</v>
      </c>
      <c r="P2" t="str">
        <f>_xlfn.XLOOKUP(Jnl[[#This Row],[BSLv2]], dict[Key], dict[Name],,0)</f>
        <v>0.现金及类似</v>
      </c>
      <c r="Q2" t="str">
        <f>_xlfn.XLOOKUP(Jnl[[#This Row],[Acct]], dict[Key], dict[Name],,0)</f>
        <v>银行</v>
      </c>
      <c r="R2" t="str">
        <f>_xlfn.XLOOKUP(Jnl[[#This Row],[Vehicle]],config_vehicle[Id], config_vehicle[Name],,0)</f>
        <v>远家花园</v>
      </c>
      <c r="S2" t="str">
        <f>_xlfn.XLOOKUP(Jnl[[#This Row],[Division]],config_div[Id], config_div[Name],,0)</f>
        <v>内控合规</v>
      </c>
      <c r="T2" t="str">
        <f>IF(Jnl[[#This Row],[TrxDate]]&lt;=stmt_BS_date_end, "In", "Out")</f>
        <v>In</v>
      </c>
      <c r="U2" t="str">
        <f>IF(Jnl[[#This Row],[TrxDate]]&lt;debug_date_start, "prior", IF(Jnl[[#This Row],[TrxDate]]&gt;debug_date_end, "post", "curr"))</f>
        <v>prior</v>
      </c>
    </row>
    <row r="3" spans="1:21">
      <c r="A3" s="10" t="s">
        <v>249</v>
      </c>
      <c r="B3" s="6">
        <f>_xlfn.XLOOKUP(Jnl[[#This Row],[TrxId]], Trx[Id], Trx[Date],,0)</f>
        <v>46022</v>
      </c>
      <c r="C3" s="6" t="str">
        <f>_xlfn.XLOOKUP(Jnl[[#This Row],[TrxId]], Trx[Id], Trx[Division],,0)</f>
        <v>Ctrl</v>
      </c>
      <c r="D3" s="6" t="str">
        <f>_xlfn.XLOOKUP(Jnl[[#This Row],[TrxId]], Trx[Id], Trx[Action],,0)</f>
        <v>结转</v>
      </c>
      <c r="E3" s="30" t="s">
        <v>95</v>
      </c>
      <c r="F3" s="10" t="s">
        <v>12</v>
      </c>
      <c r="G3" s="10" t="s">
        <v>91</v>
      </c>
      <c r="H3" s="21">
        <v>612335.77</v>
      </c>
      <c r="I3" s="4" t="b">
        <f>AND(Jnl[[#This Row],[TrxId]]&lt;&gt;"",Jnl[[#This Row],[Acct]]&lt;&gt;"",Jnl[[#This Row],[Item]]&lt;&gt;"",ISNUMBER(Jnl[[#This Row],[Bal]]))</f>
        <v>1</v>
      </c>
      <c r="J3" s="9">
        <f>IF(Jnl[[#This Row],[BSLv0]]="A",1,-1)*Jnl[[#This Row],[Bal]]</f>
        <v>612335.77</v>
      </c>
      <c r="K3" t="str">
        <f>_xlfn.XLOOKUP(Jnl[[#This Row],[Acct]], config_BS[Acct], config_BS[Lv0],,0)</f>
        <v>A</v>
      </c>
      <c r="L3" t="str">
        <f>_xlfn.XLOOKUP(Jnl[[#This Row],[Acct]], config_BS[Acct], config_BS[Lv1],,0)</f>
        <v>Assets</v>
      </c>
      <c r="M3" t="str">
        <f>_xlfn.XLOOKUP(Jnl[[#This Row],[Acct]], config_BS[Acct], config_BS[Lv2],,0)</f>
        <v>Cash alike</v>
      </c>
      <c r="N3" t="str">
        <f>_xlfn.XLOOKUP(Jnl[[#This Row],[TrxId]], Trx[Id], Trx[IncNode], ,0)</f>
        <v>Other</v>
      </c>
      <c r="O3" t="str">
        <f>_xlfn.XLOOKUP(Jnl[[#This Row],[IncNode]], config_IS[Node], config_IS[Type],,0)</f>
        <v>Non-Op</v>
      </c>
      <c r="P3" t="str">
        <f>_xlfn.XLOOKUP(Jnl[[#This Row],[BSLv2]], dict[Key], dict[Name],,0)</f>
        <v>0.现金及类似</v>
      </c>
      <c r="Q3" t="str">
        <f>_xlfn.XLOOKUP(Jnl[[#This Row],[Acct]], dict[Key], dict[Name],,0)</f>
        <v>银行</v>
      </c>
      <c r="R3" t="str">
        <f>_xlfn.XLOOKUP(Jnl[[#This Row],[Vehicle]],config_vehicle[Id], config_vehicle[Name],,0)</f>
        <v>创业园-琦</v>
      </c>
      <c r="S3" t="str">
        <f>_xlfn.XLOOKUP(Jnl[[#This Row],[Division]],config_div[Id], config_div[Name],,0)</f>
        <v>内控合规</v>
      </c>
      <c r="T3" t="str">
        <f>IF(Jnl[[#This Row],[TrxDate]]&lt;=stmt_BS_date_end, "In", "Out")</f>
        <v>In</v>
      </c>
      <c r="U3" t="str">
        <f>IF(Jnl[[#This Row],[TrxDate]]&lt;debug_date_start, "prior", IF(Jnl[[#This Row],[TrxDate]]&gt;debug_date_end, "post", "curr"))</f>
        <v>prior</v>
      </c>
    </row>
    <row r="4" spans="1:21">
      <c r="A4" s="10" t="s">
        <v>249</v>
      </c>
      <c r="B4" s="6">
        <f>_xlfn.XLOOKUP(Jnl[[#This Row],[TrxId]], Trx[Id], Trx[Date],,0)</f>
        <v>46022</v>
      </c>
      <c r="C4" s="6" t="str">
        <f>_xlfn.XLOOKUP(Jnl[[#This Row],[TrxId]], Trx[Id], Trx[Division],,0)</f>
        <v>Ctrl</v>
      </c>
      <c r="D4" s="6" t="str">
        <f>_xlfn.XLOOKUP(Jnl[[#This Row],[TrxId]], Trx[Id], Trx[Action],,0)</f>
        <v>结转</v>
      </c>
      <c r="E4" s="30" t="s">
        <v>87</v>
      </c>
      <c r="F4" s="10" t="s">
        <v>12</v>
      </c>
      <c r="G4" s="10" t="s">
        <v>92</v>
      </c>
      <c r="H4" s="21">
        <v>1597158.42</v>
      </c>
      <c r="I4" s="4" t="b">
        <f>AND(Jnl[[#This Row],[TrxId]]&lt;&gt;"",Jnl[[#This Row],[Acct]]&lt;&gt;"",Jnl[[#This Row],[Item]]&lt;&gt;"",ISNUMBER(Jnl[[#This Row],[Bal]]))</f>
        <v>1</v>
      </c>
      <c r="J4" s="9">
        <f>IF(Jnl[[#This Row],[BSLv0]]="A",1,-1)*Jnl[[#This Row],[Bal]]</f>
        <v>1597158.42</v>
      </c>
      <c r="K4" t="str">
        <f>_xlfn.XLOOKUP(Jnl[[#This Row],[Acct]], config_BS[Acct], config_BS[Lv0],,0)</f>
        <v>A</v>
      </c>
      <c r="L4" t="str">
        <f>_xlfn.XLOOKUP(Jnl[[#This Row],[Acct]], config_BS[Acct], config_BS[Lv1],,0)</f>
        <v>Assets</v>
      </c>
      <c r="M4" t="str">
        <f>_xlfn.XLOOKUP(Jnl[[#This Row],[Acct]], config_BS[Acct], config_BS[Lv2],,0)</f>
        <v>Cash alike</v>
      </c>
      <c r="N4" t="str">
        <f>_xlfn.XLOOKUP(Jnl[[#This Row],[TrxId]], Trx[Id], Trx[IncNode], ,0)</f>
        <v>Other</v>
      </c>
      <c r="O4" t="str">
        <f>_xlfn.XLOOKUP(Jnl[[#This Row],[IncNode]], config_IS[Node], config_IS[Type],,0)</f>
        <v>Non-Op</v>
      </c>
      <c r="P4" t="str">
        <f>_xlfn.XLOOKUP(Jnl[[#This Row],[BSLv2]], dict[Key], dict[Name],,0)</f>
        <v>0.现金及类似</v>
      </c>
      <c r="Q4" t="str">
        <f>_xlfn.XLOOKUP(Jnl[[#This Row],[Acct]], dict[Key], dict[Name],,0)</f>
        <v>银行</v>
      </c>
      <c r="R4" t="str">
        <f>_xlfn.XLOOKUP(Jnl[[#This Row],[Vehicle]],config_vehicle[Id], config_vehicle[Name],,0)</f>
        <v>桑木</v>
      </c>
      <c r="S4" t="str">
        <f>_xlfn.XLOOKUP(Jnl[[#This Row],[Division]],config_div[Id], config_div[Name],,0)</f>
        <v>内控合规</v>
      </c>
      <c r="T4" t="str">
        <f>IF(Jnl[[#This Row],[TrxDate]]&lt;=stmt_BS_date_end, "In", "Out")</f>
        <v>In</v>
      </c>
      <c r="U4" t="str">
        <f>IF(Jnl[[#This Row],[TrxDate]]&lt;debug_date_start, "prior", IF(Jnl[[#This Row],[TrxDate]]&gt;debug_date_end, "post", "curr"))</f>
        <v>prior</v>
      </c>
    </row>
    <row r="5" spans="1:21">
      <c r="A5" s="10" t="s">
        <v>249</v>
      </c>
      <c r="B5" s="6">
        <f>_xlfn.XLOOKUP(Jnl[[#This Row],[TrxId]], Trx[Id], Trx[Date],,0)</f>
        <v>46022</v>
      </c>
      <c r="C5" s="6" t="str">
        <f>_xlfn.XLOOKUP(Jnl[[#This Row],[TrxId]], Trx[Id], Trx[Division],,0)</f>
        <v>Ctrl</v>
      </c>
      <c r="D5" s="6" t="str">
        <f>_xlfn.XLOOKUP(Jnl[[#This Row],[TrxId]], Trx[Id], Trx[Action],,0)</f>
        <v>结转</v>
      </c>
      <c r="E5" s="30" t="s">
        <v>86</v>
      </c>
      <c r="F5" s="10" t="s">
        <v>12</v>
      </c>
      <c r="G5" s="10" t="s">
        <v>93</v>
      </c>
      <c r="H5" s="21">
        <v>2759122.91</v>
      </c>
      <c r="I5" s="4" t="b">
        <f>AND(Jnl[[#This Row],[TrxId]]&lt;&gt;"",Jnl[[#This Row],[Acct]]&lt;&gt;"",Jnl[[#This Row],[Item]]&lt;&gt;"",ISNUMBER(Jnl[[#This Row],[Bal]]))</f>
        <v>1</v>
      </c>
      <c r="J5" s="9">
        <f>IF(Jnl[[#This Row],[BSLv0]]="A",1,-1)*Jnl[[#This Row],[Bal]]</f>
        <v>2759122.91</v>
      </c>
      <c r="K5" t="str">
        <f>_xlfn.XLOOKUP(Jnl[[#This Row],[Acct]], config_BS[Acct], config_BS[Lv0],,0)</f>
        <v>A</v>
      </c>
      <c r="L5" t="str">
        <f>_xlfn.XLOOKUP(Jnl[[#This Row],[Acct]], config_BS[Acct], config_BS[Lv1],,0)</f>
        <v>Assets</v>
      </c>
      <c r="M5" t="str">
        <f>_xlfn.XLOOKUP(Jnl[[#This Row],[Acct]], config_BS[Acct], config_BS[Lv2],,0)</f>
        <v>Cash alike</v>
      </c>
      <c r="N5" t="str">
        <f>_xlfn.XLOOKUP(Jnl[[#This Row],[TrxId]], Trx[Id], Trx[IncNode], ,0)</f>
        <v>Other</v>
      </c>
      <c r="O5" t="str">
        <f>_xlfn.XLOOKUP(Jnl[[#This Row],[IncNode]], config_IS[Node], config_IS[Type],,0)</f>
        <v>Non-Op</v>
      </c>
      <c r="P5" t="str">
        <f>_xlfn.XLOOKUP(Jnl[[#This Row],[BSLv2]], dict[Key], dict[Name],,0)</f>
        <v>0.现金及类似</v>
      </c>
      <c r="Q5" t="str">
        <f>_xlfn.XLOOKUP(Jnl[[#This Row],[Acct]], dict[Key], dict[Name],,0)</f>
        <v>银行</v>
      </c>
      <c r="R5" t="str">
        <f>_xlfn.XLOOKUP(Jnl[[#This Row],[Vehicle]],config_vehicle[Id], config_vehicle[Name],,0)</f>
        <v>榆乐</v>
      </c>
      <c r="S5" t="str">
        <f>_xlfn.XLOOKUP(Jnl[[#This Row],[Division]],config_div[Id], config_div[Name],,0)</f>
        <v>内控合规</v>
      </c>
      <c r="T5" t="str">
        <f>IF(Jnl[[#This Row],[TrxDate]]&lt;=stmt_BS_date_end, "In", "Out")</f>
        <v>In</v>
      </c>
      <c r="U5" t="str">
        <f>IF(Jnl[[#This Row],[TrxDate]]&lt;debug_date_start, "prior", IF(Jnl[[#This Row],[TrxDate]]&gt;debug_date_end, "post", "curr"))</f>
        <v>prior</v>
      </c>
    </row>
    <row r="6" spans="1:21">
      <c r="A6" s="10" t="s">
        <v>249</v>
      </c>
      <c r="B6" s="6">
        <f>_xlfn.XLOOKUP(Jnl[[#This Row],[TrxId]], Trx[Id], Trx[Date],,0)</f>
        <v>46022</v>
      </c>
      <c r="C6" s="6" t="str">
        <f>_xlfn.XLOOKUP(Jnl[[#This Row],[TrxId]], Trx[Id], Trx[Division],,0)</f>
        <v>Ctrl</v>
      </c>
      <c r="D6" s="6" t="str">
        <f>_xlfn.XLOOKUP(Jnl[[#This Row],[TrxId]], Trx[Id], Trx[Action],,0)</f>
        <v>结转</v>
      </c>
      <c r="E6" s="30" t="s">
        <v>83</v>
      </c>
      <c r="F6" s="10" t="s">
        <v>12</v>
      </c>
      <c r="G6" s="10" t="s">
        <v>96</v>
      </c>
      <c r="H6" s="21">
        <v>838646.21</v>
      </c>
      <c r="I6" s="4" t="b">
        <f>AND(Jnl[[#This Row],[TrxId]]&lt;&gt;"",Jnl[[#This Row],[Acct]]&lt;&gt;"",Jnl[[#This Row],[Item]]&lt;&gt;"",ISNUMBER(Jnl[[#This Row],[Bal]]))</f>
        <v>1</v>
      </c>
      <c r="J6" s="9">
        <f>IF(Jnl[[#This Row],[BSLv0]]="A",1,-1)*Jnl[[#This Row],[Bal]]</f>
        <v>838646.21</v>
      </c>
      <c r="K6" t="str">
        <f>_xlfn.XLOOKUP(Jnl[[#This Row],[Acct]], config_BS[Acct], config_BS[Lv0],,0)</f>
        <v>A</v>
      </c>
      <c r="L6" t="str">
        <f>_xlfn.XLOOKUP(Jnl[[#This Row],[Acct]], config_BS[Acct], config_BS[Lv1],,0)</f>
        <v>Assets</v>
      </c>
      <c r="M6" t="str">
        <f>_xlfn.XLOOKUP(Jnl[[#This Row],[Acct]], config_BS[Acct], config_BS[Lv2],,0)</f>
        <v>Cash alike</v>
      </c>
      <c r="N6" t="str">
        <f>_xlfn.XLOOKUP(Jnl[[#This Row],[TrxId]], Trx[Id], Trx[IncNode], ,0)</f>
        <v>Other</v>
      </c>
      <c r="O6" t="str">
        <f>_xlfn.XLOOKUP(Jnl[[#This Row],[IncNode]], config_IS[Node], config_IS[Type],,0)</f>
        <v>Non-Op</v>
      </c>
      <c r="P6" t="str">
        <f>_xlfn.XLOOKUP(Jnl[[#This Row],[BSLv2]], dict[Key], dict[Name],,0)</f>
        <v>0.现金及类似</v>
      </c>
      <c r="Q6" t="str">
        <f>_xlfn.XLOOKUP(Jnl[[#This Row],[Acct]], dict[Key], dict[Name],,0)</f>
        <v>银行</v>
      </c>
      <c r="R6" t="str">
        <f>_xlfn.XLOOKUP(Jnl[[#This Row],[Vehicle]],config_vehicle[Id], config_vehicle[Name],,0)</f>
        <v>喜家文化</v>
      </c>
      <c r="S6" t="str">
        <f>_xlfn.XLOOKUP(Jnl[[#This Row],[Division]],config_div[Id], config_div[Name],,0)</f>
        <v>内控合规</v>
      </c>
      <c r="T6" t="str">
        <f>IF(Jnl[[#This Row],[TrxDate]]&lt;=stmt_BS_date_end, "In", "Out")</f>
        <v>In</v>
      </c>
      <c r="U6" t="str">
        <f>IF(Jnl[[#This Row],[TrxDate]]&lt;debug_date_start, "prior", IF(Jnl[[#This Row],[TrxDate]]&gt;debug_date_end, "post", "curr"))</f>
        <v>prior</v>
      </c>
    </row>
    <row r="7" spans="1:21">
      <c r="A7" s="10" t="s">
        <v>249</v>
      </c>
      <c r="B7" s="6">
        <f>_xlfn.XLOOKUP(Jnl[[#This Row],[TrxId]], Trx[Id], Trx[Date],,0)</f>
        <v>46022</v>
      </c>
      <c r="C7" s="6" t="str">
        <f>_xlfn.XLOOKUP(Jnl[[#This Row],[TrxId]], Trx[Id], Trx[Division],,0)</f>
        <v>Ctrl</v>
      </c>
      <c r="D7" s="6" t="str">
        <f>_xlfn.XLOOKUP(Jnl[[#This Row],[TrxId]], Trx[Id], Trx[Action],,0)</f>
        <v>结转</v>
      </c>
      <c r="E7" s="30" t="s">
        <v>83</v>
      </c>
      <c r="F7" s="10" t="s">
        <v>14</v>
      </c>
      <c r="G7" s="10" t="s">
        <v>99</v>
      </c>
      <c r="H7" s="21">
        <v>25540.15</v>
      </c>
      <c r="I7" s="4" t="b">
        <f>AND(Jnl[[#This Row],[TrxId]]&lt;&gt;"",Jnl[[#This Row],[Acct]]&lt;&gt;"",Jnl[[#This Row],[Item]]&lt;&gt;"",ISNUMBER(Jnl[[#This Row],[Bal]]))</f>
        <v>1</v>
      </c>
      <c r="J7" s="9">
        <f>IF(Jnl[[#This Row],[BSLv0]]="A",1,-1)*Jnl[[#This Row],[Bal]]</f>
        <v>25540.15</v>
      </c>
      <c r="K7" t="str">
        <f>_xlfn.XLOOKUP(Jnl[[#This Row],[Acct]], config_BS[Acct], config_BS[Lv0],,0)</f>
        <v>A</v>
      </c>
      <c r="L7" t="str">
        <f>_xlfn.XLOOKUP(Jnl[[#This Row],[Acct]], config_BS[Acct], config_BS[Lv1],,0)</f>
        <v>Assets</v>
      </c>
      <c r="M7" t="str">
        <f>_xlfn.XLOOKUP(Jnl[[#This Row],[Acct]], config_BS[Acct], config_BS[Lv2],,0)</f>
        <v>Cash alike</v>
      </c>
      <c r="N7" t="str">
        <f>_xlfn.XLOOKUP(Jnl[[#This Row],[TrxId]], Trx[Id], Trx[IncNode], ,0)</f>
        <v>Other</v>
      </c>
      <c r="O7" t="str">
        <f>_xlfn.XLOOKUP(Jnl[[#This Row],[IncNode]], config_IS[Node], config_IS[Type],,0)</f>
        <v>Non-Op</v>
      </c>
      <c r="P7" t="str">
        <f>_xlfn.XLOOKUP(Jnl[[#This Row],[BSLv2]], dict[Key], dict[Name],,0)</f>
        <v>0.现金及类似</v>
      </c>
      <c r="Q7" t="str">
        <f>_xlfn.XLOOKUP(Jnl[[#This Row],[Acct]], dict[Key], dict[Name],,0)</f>
        <v>物理现金</v>
      </c>
      <c r="R7" t="str">
        <f>_xlfn.XLOOKUP(Jnl[[#This Row],[Vehicle]],config_vehicle[Id], config_vehicle[Name],,0)</f>
        <v>喜家文化</v>
      </c>
      <c r="S7" t="str">
        <f>_xlfn.XLOOKUP(Jnl[[#This Row],[Division]],config_div[Id], config_div[Name],,0)</f>
        <v>内控合规</v>
      </c>
      <c r="T7" t="str">
        <f>IF(Jnl[[#This Row],[TrxDate]]&lt;=stmt_BS_date_end, "In", "Out")</f>
        <v>In</v>
      </c>
      <c r="U7" t="str">
        <f>IF(Jnl[[#This Row],[TrxDate]]&lt;debug_date_start, "prior", IF(Jnl[[#This Row],[TrxDate]]&gt;debug_date_end, "post", "curr"))</f>
        <v>prior</v>
      </c>
    </row>
    <row r="8" spans="1:21">
      <c r="A8" s="10" t="s">
        <v>249</v>
      </c>
      <c r="B8" s="6">
        <f>_xlfn.XLOOKUP(Jnl[[#This Row],[TrxId]], Trx[Id], Trx[Date],,0)</f>
        <v>46022</v>
      </c>
      <c r="C8" s="6" t="str">
        <f>_xlfn.XLOOKUP(Jnl[[#This Row],[TrxId]], Trx[Id], Trx[Division],,0)</f>
        <v>Ctrl</v>
      </c>
      <c r="D8" s="6" t="str">
        <f>_xlfn.XLOOKUP(Jnl[[#This Row],[TrxId]], Trx[Id], Trx[Action],,0)</f>
        <v>结转</v>
      </c>
      <c r="E8" s="30" t="s">
        <v>109</v>
      </c>
      <c r="F8" s="10" t="s">
        <v>12</v>
      </c>
      <c r="G8" s="10" t="s">
        <v>97</v>
      </c>
      <c r="H8" s="21">
        <v>125030.24</v>
      </c>
      <c r="I8" s="4" t="b">
        <f>AND(Jnl[[#This Row],[TrxId]]&lt;&gt;"",Jnl[[#This Row],[Acct]]&lt;&gt;"",Jnl[[#This Row],[Item]]&lt;&gt;"",ISNUMBER(Jnl[[#This Row],[Bal]]))</f>
        <v>1</v>
      </c>
      <c r="J8" s="9">
        <f>IF(Jnl[[#This Row],[BSLv0]]="A",1,-1)*Jnl[[#This Row],[Bal]]</f>
        <v>125030.24</v>
      </c>
      <c r="K8" t="str">
        <f>_xlfn.XLOOKUP(Jnl[[#This Row],[Acct]], config_BS[Acct], config_BS[Lv0],,0)</f>
        <v>A</v>
      </c>
      <c r="L8" t="str">
        <f>_xlfn.XLOOKUP(Jnl[[#This Row],[Acct]], config_BS[Acct], config_BS[Lv1],,0)</f>
        <v>Assets</v>
      </c>
      <c r="M8" t="str">
        <f>_xlfn.XLOOKUP(Jnl[[#This Row],[Acct]], config_BS[Acct], config_BS[Lv2],,0)</f>
        <v>Cash alike</v>
      </c>
      <c r="N8" t="str">
        <f>_xlfn.XLOOKUP(Jnl[[#This Row],[TrxId]], Trx[Id], Trx[IncNode], ,0)</f>
        <v>Other</v>
      </c>
      <c r="O8" t="str">
        <f>_xlfn.XLOOKUP(Jnl[[#This Row],[IncNode]], config_IS[Node], config_IS[Type],,0)</f>
        <v>Non-Op</v>
      </c>
      <c r="P8" t="str">
        <f>_xlfn.XLOOKUP(Jnl[[#This Row],[BSLv2]], dict[Key], dict[Name],,0)</f>
        <v>0.现金及类似</v>
      </c>
      <c r="Q8" t="str">
        <f>_xlfn.XLOOKUP(Jnl[[#This Row],[Acct]], dict[Key], dict[Name],,0)</f>
        <v>银行</v>
      </c>
      <c r="R8" t="str">
        <f>_xlfn.XLOOKUP(Jnl[[#This Row],[Vehicle]],config_vehicle[Id], config_vehicle[Name],,0)</f>
        <v>远家花园高新分公司</v>
      </c>
      <c r="S8" t="str">
        <f>_xlfn.XLOOKUP(Jnl[[#This Row],[Division]],config_div[Id], config_div[Name],,0)</f>
        <v>内控合规</v>
      </c>
      <c r="T8" t="str">
        <f>IF(Jnl[[#This Row],[TrxDate]]&lt;=stmt_BS_date_end, "In", "Out")</f>
        <v>In</v>
      </c>
      <c r="U8" t="str">
        <f>IF(Jnl[[#This Row],[TrxDate]]&lt;debug_date_start, "prior", IF(Jnl[[#This Row],[TrxDate]]&gt;debug_date_end, "post", "curr"))</f>
        <v>prior</v>
      </c>
    </row>
    <row r="9" spans="1:21">
      <c r="A9" s="10" t="s">
        <v>249</v>
      </c>
      <c r="B9" s="6">
        <f>_xlfn.XLOOKUP(Jnl[[#This Row],[TrxId]], Trx[Id], Trx[Date],,0)</f>
        <v>46022</v>
      </c>
      <c r="C9" s="6" t="str">
        <f>_xlfn.XLOOKUP(Jnl[[#This Row],[TrxId]], Trx[Id], Trx[Division],,0)</f>
        <v>Ctrl</v>
      </c>
      <c r="D9" s="6" t="str">
        <f>_xlfn.XLOOKUP(Jnl[[#This Row],[TrxId]], Trx[Id], Trx[Action],,0)</f>
        <v>结转</v>
      </c>
      <c r="E9" s="30" t="s">
        <v>83</v>
      </c>
      <c r="F9" s="10" t="s">
        <v>14</v>
      </c>
      <c r="G9" s="10" t="s">
        <v>98</v>
      </c>
      <c r="H9" s="21">
        <v>2000</v>
      </c>
      <c r="I9" s="4" t="b">
        <f>AND(Jnl[[#This Row],[TrxId]]&lt;&gt;"",Jnl[[#This Row],[Acct]]&lt;&gt;"",Jnl[[#This Row],[Item]]&lt;&gt;"",ISNUMBER(Jnl[[#This Row],[Bal]]))</f>
        <v>1</v>
      </c>
      <c r="J9" s="9">
        <f>IF(Jnl[[#This Row],[BSLv0]]="A",1,-1)*Jnl[[#This Row],[Bal]]</f>
        <v>2000</v>
      </c>
      <c r="K9" t="str">
        <f>_xlfn.XLOOKUP(Jnl[[#This Row],[Acct]], config_BS[Acct], config_BS[Lv0],,0)</f>
        <v>A</v>
      </c>
      <c r="L9" t="str">
        <f>_xlfn.XLOOKUP(Jnl[[#This Row],[Acct]], config_BS[Acct], config_BS[Lv1],,0)</f>
        <v>Assets</v>
      </c>
      <c r="M9" t="str">
        <f>_xlfn.XLOOKUP(Jnl[[#This Row],[Acct]], config_BS[Acct], config_BS[Lv2],,0)</f>
        <v>Cash alike</v>
      </c>
      <c r="N9" t="str">
        <f>_xlfn.XLOOKUP(Jnl[[#This Row],[TrxId]], Trx[Id], Trx[IncNode], ,0)</f>
        <v>Other</v>
      </c>
      <c r="O9" t="str">
        <f>_xlfn.XLOOKUP(Jnl[[#This Row],[IncNode]], config_IS[Node], config_IS[Type],,0)</f>
        <v>Non-Op</v>
      </c>
      <c r="P9" t="str">
        <f>_xlfn.XLOOKUP(Jnl[[#This Row],[BSLv2]], dict[Key], dict[Name],,0)</f>
        <v>0.现金及类似</v>
      </c>
      <c r="Q9" t="str">
        <f>_xlfn.XLOOKUP(Jnl[[#This Row],[Acct]], dict[Key], dict[Name],,0)</f>
        <v>物理现金</v>
      </c>
      <c r="R9" t="str">
        <f>_xlfn.XLOOKUP(Jnl[[#This Row],[Vehicle]],config_vehicle[Id], config_vehicle[Name],,0)</f>
        <v>喜家文化</v>
      </c>
      <c r="S9" t="str">
        <f>_xlfn.XLOOKUP(Jnl[[#This Row],[Division]],config_div[Id], config_div[Name],,0)</f>
        <v>内控合规</v>
      </c>
      <c r="T9" t="str">
        <f>IF(Jnl[[#This Row],[TrxDate]]&lt;=stmt_BS_date_end, "In", "Out")</f>
        <v>In</v>
      </c>
      <c r="U9" t="str">
        <f>IF(Jnl[[#This Row],[TrxDate]]&lt;debug_date_start, "prior", IF(Jnl[[#This Row],[TrxDate]]&gt;debug_date_end, "post", "curr"))</f>
        <v>prior</v>
      </c>
    </row>
    <row r="10" spans="1:21">
      <c r="A10" s="10" t="s">
        <v>249</v>
      </c>
      <c r="B10" s="6">
        <f>_xlfn.XLOOKUP(Jnl[[#This Row],[TrxId]], Trx[Id], Trx[Date],,0)</f>
        <v>46022</v>
      </c>
      <c r="C10" s="6" t="str">
        <f>_xlfn.XLOOKUP(Jnl[[#This Row],[TrxId]], Trx[Id], Trx[Division],,0)</f>
        <v>Ctrl</v>
      </c>
      <c r="D10" s="6" t="str">
        <f>_xlfn.XLOOKUP(Jnl[[#This Row],[TrxId]], Trx[Id], Trx[Action],,0)</f>
        <v>结转</v>
      </c>
      <c r="E10" s="30" t="s">
        <v>84</v>
      </c>
      <c r="F10" s="10" t="s">
        <v>12</v>
      </c>
      <c r="G10" s="10" t="s">
        <v>100</v>
      </c>
      <c r="H10" s="21">
        <v>1012107.86</v>
      </c>
      <c r="I10" s="4" t="b">
        <f>AND(Jnl[[#This Row],[TrxId]]&lt;&gt;"",Jnl[[#This Row],[Acct]]&lt;&gt;"",Jnl[[#This Row],[Item]]&lt;&gt;"",ISNUMBER(Jnl[[#This Row],[Bal]]))</f>
        <v>1</v>
      </c>
      <c r="J10" s="9">
        <f>IF(Jnl[[#This Row],[BSLv0]]="A",1,-1)*Jnl[[#This Row],[Bal]]</f>
        <v>1012107.86</v>
      </c>
      <c r="K10" t="str">
        <f>_xlfn.XLOOKUP(Jnl[[#This Row],[Acct]], config_BS[Acct], config_BS[Lv0],,0)</f>
        <v>A</v>
      </c>
      <c r="L10" t="str">
        <f>_xlfn.XLOOKUP(Jnl[[#This Row],[Acct]], config_BS[Acct], config_BS[Lv1],,0)</f>
        <v>Assets</v>
      </c>
      <c r="M10" t="str">
        <f>_xlfn.XLOOKUP(Jnl[[#This Row],[Acct]], config_BS[Acct], config_BS[Lv2],,0)</f>
        <v>Cash alike</v>
      </c>
      <c r="N10" t="str">
        <f>_xlfn.XLOOKUP(Jnl[[#This Row],[TrxId]], Trx[Id], Trx[IncNode], ,0)</f>
        <v>Other</v>
      </c>
      <c r="O10" t="str">
        <f>_xlfn.XLOOKUP(Jnl[[#This Row],[IncNode]], config_IS[Node], config_IS[Type],,0)</f>
        <v>Non-Op</v>
      </c>
      <c r="P10" t="str">
        <f>_xlfn.XLOOKUP(Jnl[[#This Row],[BSLv2]], dict[Key], dict[Name],,0)</f>
        <v>0.现金及类似</v>
      </c>
      <c r="Q10" t="str">
        <f>_xlfn.XLOOKUP(Jnl[[#This Row],[Acct]], dict[Key], dict[Name],,0)</f>
        <v>银行</v>
      </c>
      <c r="R10" t="str">
        <f>_xlfn.XLOOKUP(Jnl[[#This Row],[Vehicle]],config_vehicle[Id], config_vehicle[Name],,0)</f>
        <v>米小易</v>
      </c>
      <c r="S10" t="str">
        <f>_xlfn.XLOOKUP(Jnl[[#This Row],[Division]],config_div[Id], config_div[Name],,0)</f>
        <v>内控合规</v>
      </c>
      <c r="T10" t="str">
        <f>IF(Jnl[[#This Row],[TrxDate]]&lt;=stmt_BS_date_end, "In", "Out")</f>
        <v>In</v>
      </c>
      <c r="U10" t="str">
        <f>IF(Jnl[[#This Row],[TrxDate]]&lt;debug_date_start, "prior", IF(Jnl[[#This Row],[TrxDate]]&gt;debug_date_end, "post", "curr"))</f>
        <v>prior</v>
      </c>
    </row>
    <row r="11" spans="1:21">
      <c r="A11" s="10" t="s">
        <v>249</v>
      </c>
      <c r="B11" s="6">
        <f>_xlfn.XLOOKUP(Jnl[[#This Row],[TrxId]], Trx[Id], Trx[Date],,0)</f>
        <v>46022</v>
      </c>
      <c r="C11" s="6" t="str">
        <f>_xlfn.XLOOKUP(Jnl[[#This Row],[TrxId]], Trx[Id], Trx[Division],,0)</f>
        <v>Ctrl</v>
      </c>
      <c r="D11" s="6" t="str">
        <f>_xlfn.XLOOKUP(Jnl[[#This Row],[TrxId]], Trx[Id], Trx[Action],,0)</f>
        <v>结转</v>
      </c>
      <c r="E11" s="30" t="s">
        <v>83</v>
      </c>
      <c r="F11" s="10" t="s">
        <v>14</v>
      </c>
      <c r="G11" s="10" t="s">
        <v>101</v>
      </c>
      <c r="H11" s="21">
        <v>1304</v>
      </c>
      <c r="I11" s="4" t="b">
        <f>AND(Jnl[[#This Row],[TrxId]]&lt;&gt;"",Jnl[[#This Row],[Acct]]&lt;&gt;"",Jnl[[#This Row],[Item]]&lt;&gt;"",ISNUMBER(Jnl[[#This Row],[Bal]]))</f>
        <v>1</v>
      </c>
      <c r="J11" s="9">
        <f>IF(Jnl[[#This Row],[BSLv0]]="A",1,-1)*Jnl[[#This Row],[Bal]]</f>
        <v>1304</v>
      </c>
      <c r="K11" t="str">
        <f>_xlfn.XLOOKUP(Jnl[[#This Row],[Acct]], config_BS[Acct], config_BS[Lv0],,0)</f>
        <v>A</v>
      </c>
      <c r="L11" t="str">
        <f>_xlfn.XLOOKUP(Jnl[[#This Row],[Acct]], config_BS[Acct], config_BS[Lv1],,0)</f>
        <v>Assets</v>
      </c>
      <c r="M11" t="str">
        <f>_xlfn.XLOOKUP(Jnl[[#This Row],[Acct]], config_BS[Acct], config_BS[Lv2],,0)</f>
        <v>Cash alike</v>
      </c>
      <c r="N11" t="str">
        <f>_xlfn.XLOOKUP(Jnl[[#This Row],[TrxId]], Trx[Id], Trx[IncNode], ,0)</f>
        <v>Other</v>
      </c>
      <c r="O11" t="str">
        <f>_xlfn.XLOOKUP(Jnl[[#This Row],[IncNode]], config_IS[Node], config_IS[Type],,0)</f>
        <v>Non-Op</v>
      </c>
      <c r="P11" t="str">
        <f>_xlfn.XLOOKUP(Jnl[[#This Row],[BSLv2]], dict[Key], dict[Name],,0)</f>
        <v>0.现金及类似</v>
      </c>
      <c r="Q11" t="str">
        <f>_xlfn.XLOOKUP(Jnl[[#This Row],[Acct]], dict[Key], dict[Name],,0)</f>
        <v>物理现金</v>
      </c>
      <c r="R11" t="str">
        <f>_xlfn.XLOOKUP(Jnl[[#This Row],[Vehicle]],config_vehicle[Id], config_vehicle[Name],,0)</f>
        <v>喜家文化</v>
      </c>
      <c r="S11" t="str">
        <f>_xlfn.XLOOKUP(Jnl[[#This Row],[Division]],config_div[Id], config_div[Name],,0)</f>
        <v>内控合规</v>
      </c>
      <c r="T11" t="str">
        <f>IF(Jnl[[#This Row],[TrxDate]]&lt;=stmt_BS_date_end, "In", "Out")</f>
        <v>In</v>
      </c>
      <c r="U11" t="str">
        <f>IF(Jnl[[#This Row],[TrxDate]]&lt;debug_date_start, "prior", IF(Jnl[[#This Row],[TrxDate]]&gt;debug_date_end, "post", "curr"))</f>
        <v>prior</v>
      </c>
    </row>
    <row r="12" spans="1:21">
      <c r="A12" s="10" t="s">
        <v>249</v>
      </c>
      <c r="B12" s="6">
        <f>_xlfn.XLOOKUP(Jnl[[#This Row],[TrxId]], Trx[Id], Trx[Date],,0)</f>
        <v>46022</v>
      </c>
      <c r="C12" s="6" t="str">
        <f>_xlfn.XLOOKUP(Jnl[[#This Row],[TrxId]], Trx[Id], Trx[Division],,0)</f>
        <v>Ctrl</v>
      </c>
      <c r="D12" s="6" t="str">
        <f>_xlfn.XLOOKUP(Jnl[[#This Row],[TrxId]], Trx[Id], Trx[Action],,0)</f>
        <v>结转</v>
      </c>
      <c r="E12" s="30" t="s">
        <v>85</v>
      </c>
      <c r="F12" s="10" t="s">
        <v>12</v>
      </c>
      <c r="G12" s="10" t="s">
        <v>102</v>
      </c>
      <c r="H12" s="21">
        <v>174191.78</v>
      </c>
      <c r="I12" s="4" t="b">
        <f>AND(Jnl[[#This Row],[TrxId]]&lt;&gt;"",Jnl[[#This Row],[Acct]]&lt;&gt;"",Jnl[[#This Row],[Item]]&lt;&gt;"",ISNUMBER(Jnl[[#This Row],[Bal]]))</f>
        <v>1</v>
      </c>
      <c r="J12" s="9">
        <f>IF(Jnl[[#This Row],[BSLv0]]="A",1,-1)*Jnl[[#This Row],[Bal]]</f>
        <v>174191.78</v>
      </c>
      <c r="K12" t="str">
        <f>_xlfn.XLOOKUP(Jnl[[#This Row],[Acct]], config_BS[Acct], config_BS[Lv0],,0)</f>
        <v>A</v>
      </c>
      <c r="L12" t="str">
        <f>_xlfn.XLOOKUP(Jnl[[#This Row],[Acct]], config_BS[Acct], config_BS[Lv1],,0)</f>
        <v>Assets</v>
      </c>
      <c r="M12" t="str">
        <f>_xlfn.XLOOKUP(Jnl[[#This Row],[Acct]], config_BS[Acct], config_BS[Lv2],,0)</f>
        <v>Cash alike</v>
      </c>
      <c r="N12" t="str">
        <f>_xlfn.XLOOKUP(Jnl[[#This Row],[TrxId]], Trx[Id], Trx[IncNode], ,0)</f>
        <v>Other</v>
      </c>
      <c r="O12" t="str">
        <f>_xlfn.XLOOKUP(Jnl[[#This Row],[IncNode]], config_IS[Node], config_IS[Type],,0)</f>
        <v>Non-Op</v>
      </c>
      <c r="P12" t="str">
        <f>_xlfn.XLOOKUP(Jnl[[#This Row],[BSLv2]], dict[Key], dict[Name],,0)</f>
        <v>0.现金及类似</v>
      </c>
      <c r="Q12" t="str">
        <f>_xlfn.XLOOKUP(Jnl[[#This Row],[Acct]], dict[Key], dict[Name],,0)</f>
        <v>银行</v>
      </c>
      <c r="R12" t="str">
        <f>_xlfn.XLOOKUP(Jnl[[#This Row],[Vehicle]],config_vehicle[Id], config_vehicle[Name],,0)</f>
        <v>远家文化</v>
      </c>
      <c r="S12" t="str">
        <f>_xlfn.XLOOKUP(Jnl[[#This Row],[Division]],config_div[Id], config_div[Name],,0)</f>
        <v>内控合规</v>
      </c>
      <c r="T12" t="str">
        <f>IF(Jnl[[#This Row],[TrxDate]]&lt;=stmt_BS_date_end, "In", "Out")</f>
        <v>In</v>
      </c>
      <c r="U12" t="str">
        <f>IF(Jnl[[#This Row],[TrxDate]]&lt;debug_date_start, "prior", IF(Jnl[[#This Row],[TrxDate]]&gt;debug_date_end, "post", "curr"))</f>
        <v>prior</v>
      </c>
    </row>
    <row r="13" spans="1:21">
      <c r="A13" s="10" t="s">
        <v>249</v>
      </c>
      <c r="B13" s="6">
        <f>_xlfn.XLOOKUP(Jnl[[#This Row],[TrxId]], Trx[Id], Trx[Date],,0)</f>
        <v>46022</v>
      </c>
      <c r="C13" s="6" t="str">
        <f>_xlfn.XLOOKUP(Jnl[[#This Row],[TrxId]], Trx[Id], Trx[Division],,0)</f>
        <v>Ctrl</v>
      </c>
      <c r="D13" s="6" t="str">
        <f>_xlfn.XLOOKUP(Jnl[[#This Row],[TrxId]], Trx[Id], Trx[Action],,0)</f>
        <v>结转</v>
      </c>
      <c r="E13" s="30" t="s">
        <v>110</v>
      </c>
      <c r="F13" s="10" t="s">
        <v>12</v>
      </c>
      <c r="G13" s="10" t="s">
        <v>103</v>
      </c>
      <c r="H13" s="21">
        <v>21355.13</v>
      </c>
      <c r="I13" s="4" t="b">
        <f>AND(Jnl[[#This Row],[TrxId]]&lt;&gt;"",Jnl[[#This Row],[Acct]]&lt;&gt;"",Jnl[[#This Row],[Item]]&lt;&gt;"",ISNUMBER(Jnl[[#This Row],[Bal]]))</f>
        <v>1</v>
      </c>
      <c r="J13" s="9">
        <f>IF(Jnl[[#This Row],[BSLv0]]="A",1,-1)*Jnl[[#This Row],[Bal]]</f>
        <v>21355.13</v>
      </c>
      <c r="K13" t="str">
        <f>_xlfn.XLOOKUP(Jnl[[#This Row],[Acct]], config_BS[Acct], config_BS[Lv0],,0)</f>
        <v>A</v>
      </c>
      <c r="L13" t="str">
        <f>_xlfn.XLOOKUP(Jnl[[#This Row],[Acct]], config_BS[Acct], config_BS[Lv1],,0)</f>
        <v>Assets</v>
      </c>
      <c r="M13" t="str">
        <f>_xlfn.XLOOKUP(Jnl[[#This Row],[Acct]], config_BS[Acct], config_BS[Lv2],,0)</f>
        <v>Cash alike</v>
      </c>
      <c r="N13" t="str">
        <f>_xlfn.XLOOKUP(Jnl[[#This Row],[TrxId]], Trx[Id], Trx[IncNode], ,0)</f>
        <v>Other</v>
      </c>
      <c r="O13" t="str">
        <f>_xlfn.XLOOKUP(Jnl[[#This Row],[IncNode]], config_IS[Node], config_IS[Type],,0)</f>
        <v>Non-Op</v>
      </c>
      <c r="P13" t="str">
        <f>_xlfn.XLOOKUP(Jnl[[#This Row],[BSLv2]], dict[Key], dict[Name],,0)</f>
        <v>0.现金及类似</v>
      </c>
      <c r="Q13" t="str">
        <f>_xlfn.XLOOKUP(Jnl[[#This Row],[Acct]], dict[Key], dict[Name],,0)</f>
        <v>银行</v>
      </c>
      <c r="R13" t="str">
        <f>_xlfn.XLOOKUP(Jnl[[#This Row],[Vehicle]],config_vehicle[Id], config_vehicle[Name],,0)</f>
        <v>远家文化蒲江分公司</v>
      </c>
      <c r="S13" t="str">
        <f>_xlfn.XLOOKUP(Jnl[[#This Row],[Division]],config_div[Id], config_div[Name],,0)</f>
        <v>内控合规</v>
      </c>
      <c r="T13" t="str">
        <f>IF(Jnl[[#This Row],[TrxDate]]&lt;=stmt_BS_date_end, "In", "Out")</f>
        <v>In</v>
      </c>
      <c r="U13" t="str">
        <f>IF(Jnl[[#This Row],[TrxDate]]&lt;debug_date_start, "prior", IF(Jnl[[#This Row],[TrxDate]]&gt;debug_date_end, "post", "curr"))</f>
        <v>prior</v>
      </c>
    </row>
    <row r="14" spans="1:21">
      <c r="A14" s="10" t="s">
        <v>249</v>
      </c>
      <c r="B14" s="6">
        <f>_xlfn.XLOOKUP(Jnl[[#This Row],[TrxId]], Trx[Id], Trx[Date],,0)</f>
        <v>46022</v>
      </c>
      <c r="C14" s="6" t="str">
        <f>_xlfn.XLOOKUP(Jnl[[#This Row],[TrxId]], Trx[Id], Trx[Division],,0)</f>
        <v>Ctrl</v>
      </c>
      <c r="D14" s="6" t="str">
        <f>_xlfn.XLOOKUP(Jnl[[#This Row],[TrxId]], Trx[Id], Trx[Action],,0)</f>
        <v>结转</v>
      </c>
      <c r="E14" s="30" t="s">
        <v>88</v>
      </c>
      <c r="F14" s="10" t="s">
        <v>12</v>
      </c>
      <c r="G14" s="10" t="s">
        <v>104</v>
      </c>
      <c r="H14" s="21">
        <v>143995.32</v>
      </c>
      <c r="I14" s="4" t="b">
        <f>AND(Jnl[[#This Row],[TrxId]]&lt;&gt;"",Jnl[[#This Row],[Acct]]&lt;&gt;"",Jnl[[#This Row],[Item]]&lt;&gt;"",ISNUMBER(Jnl[[#This Row],[Bal]]))</f>
        <v>1</v>
      </c>
      <c r="J14" s="9">
        <f>IF(Jnl[[#This Row],[BSLv0]]="A",1,-1)*Jnl[[#This Row],[Bal]]</f>
        <v>143995.32</v>
      </c>
      <c r="K14" t="str">
        <f>_xlfn.XLOOKUP(Jnl[[#This Row],[Acct]], config_BS[Acct], config_BS[Lv0],,0)</f>
        <v>A</v>
      </c>
      <c r="L14" t="str">
        <f>_xlfn.XLOOKUP(Jnl[[#This Row],[Acct]], config_BS[Acct], config_BS[Lv1],,0)</f>
        <v>Assets</v>
      </c>
      <c r="M14" t="str">
        <f>_xlfn.XLOOKUP(Jnl[[#This Row],[Acct]], config_BS[Acct], config_BS[Lv2],,0)</f>
        <v>Cash alike</v>
      </c>
      <c r="N14" t="str">
        <f>_xlfn.XLOOKUP(Jnl[[#This Row],[TrxId]], Trx[Id], Trx[IncNode], ,0)</f>
        <v>Other</v>
      </c>
      <c r="O14" t="str">
        <f>_xlfn.XLOOKUP(Jnl[[#This Row],[IncNode]], config_IS[Node], config_IS[Type],,0)</f>
        <v>Non-Op</v>
      </c>
      <c r="P14" t="str">
        <f>_xlfn.XLOOKUP(Jnl[[#This Row],[BSLv2]], dict[Key], dict[Name],,0)</f>
        <v>0.现金及类似</v>
      </c>
      <c r="Q14" t="str">
        <f>_xlfn.XLOOKUP(Jnl[[#This Row],[Acct]], dict[Key], dict[Name],,0)</f>
        <v>银行</v>
      </c>
      <c r="R14" t="str">
        <f>_xlfn.XLOOKUP(Jnl[[#This Row],[Vehicle]],config_vehicle[Id], config_vehicle[Name],,0)</f>
        <v>张小喜</v>
      </c>
      <c r="S14" t="str">
        <f>_xlfn.XLOOKUP(Jnl[[#This Row],[Division]],config_div[Id], config_div[Name],,0)</f>
        <v>内控合规</v>
      </c>
      <c r="T14" t="str">
        <f>IF(Jnl[[#This Row],[TrxDate]]&lt;=stmt_BS_date_end, "In", "Out")</f>
        <v>In</v>
      </c>
      <c r="U14" t="str">
        <f>IF(Jnl[[#This Row],[TrxDate]]&lt;debug_date_start, "prior", IF(Jnl[[#This Row],[TrxDate]]&gt;debug_date_end, "post", "curr"))</f>
        <v>prior</v>
      </c>
    </row>
    <row r="15" spans="1:21">
      <c r="A15" s="10" t="s">
        <v>249</v>
      </c>
      <c r="B15" s="6">
        <f>_xlfn.XLOOKUP(Jnl[[#This Row],[TrxId]], Trx[Id], Trx[Date],,0)</f>
        <v>46022</v>
      </c>
      <c r="C15" s="6" t="str">
        <f>_xlfn.XLOOKUP(Jnl[[#This Row],[TrxId]], Trx[Id], Trx[Division],,0)</f>
        <v>Ctrl</v>
      </c>
      <c r="D15" s="6" t="str">
        <f>_xlfn.XLOOKUP(Jnl[[#This Row],[TrxId]], Trx[Id], Trx[Action],,0)</f>
        <v>结转</v>
      </c>
      <c r="E15" s="30" t="s">
        <v>88</v>
      </c>
      <c r="F15" s="10" t="s">
        <v>12</v>
      </c>
      <c r="G15" s="10" t="s">
        <v>105</v>
      </c>
      <c r="H15" s="21">
        <v>435221.41</v>
      </c>
      <c r="I15" s="4" t="b">
        <f>AND(Jnl[[#This Row],[TrxId]]&lt;&gt;"",Jnl[[#This Row],[Acct]]&lt;&gt;"",Jnl[[#This Row],[Item]]&lt;&gt;"",ISNUMBER(Jnl[[#This Row],[Bal]]))</f>
        <v>1</v>
      </c>
      <c r="J15" s="9">
        <f>IF(Jnl[[#This Row],[BSLv0]]="A",1,-1)*Jnl[[#This Row],[Bal]]</f>
        <v>435221.41</v>
      </c>
      <c r="K15" t="str">
        <f>_xlfn.XLOOKUP(Jnl[[#This Row],[Acct]], config_BS[Acct], config_BS[Lv0],,0)</f>
        <v>A</v>
      </c>
      <c r="L15" t="str">
        <f>_xlfn.XLOOKUP(Jnl[[#This Row],[Acct]], config_BS[Acct], config_BS[Lv1],,0)</f>
        <v>Assets</v>
      </c>
      <c r="M15" t="str">
        <f>_xlfn.XLOOKUP(Jnl[[#This Row],[Acct]], config_BS[Acct], config_BS[Lv2],,0)</f>
        <v>Cash alike</v>
      </c>
      <c r="N15" t="str">
        <f>_xlfn.XLOOKUP(Jnl[[#This Row],[TrxId]], Trx[Id], Trx[IncNode], ,0)</f>
        <v>Other</v>
      </c>
      <c r="O15" t="str">
        <f>_xlfn.XLOOKUP(Jnl[[#This Row],[IncNode]], config_IS[Node], config_IS[Type],,0)</f>
        <v>Non-Op</v>
      </c>
      <c r="P15" t="str">
        <f>_xlfn.XLOOKUP(Jnl[[#This Row],[BSLv2]], dict[Key], dict[Name],,0)</f>
        <v>0.现金及类似</v>
      </c>
      <c r="Q15" t="str">
        <f>_xlfn.XLOOKUP(Jnl[[#This Row],[Acct]], dict[Key], dict[Name],,0)</f>
        <v>银行</v>
      </c>
      <c r="R15" t="str">
        <f>_xlfn.XLOOKUP(Jnl[[#This Row],[Vehicle]],config_vehicle[Id], config_vehicle[Name],,0)</f>
        <v>张小喜</v>
      </c>
      <c r="S15" t="str">
        <f>_xlfn.XLOOKUP(Jnl[[#This Row],[Division]],config_div[Id], config_div[Name],,0)</f>
        <v>内控合规</v>
      </c>
      <c r="T15" t="str">
        <f>IF(Jnl[[#This Row],[TrxDate]]&lt;=stmt_BS_date_end, "In", "Out")</f>
        <v>In</v>
      </c>
      <c r="U15" t="str">
        <f>IF(Jnl[[#This Row],[TrxDate]]&lt;debug_date_start, "prior", IF(Jnl[[#This Row],[TrxDate]]&gt;debug_date_end, "post", "curr"))</f>
        <v>prior</v>
      </c>
    </row>
    <row r="16" spans="1:21">
      <c r="A16" s="10" t="s">
        <v>249</v>
      </c>
      <c r="B16" s="6">
        <f>_xlfn.XLOOKUP(Jnl[[#This Row],[TrxId]], Trx[Id], Trx[Date],,0)</f>
        <v>46022</v>
      </c>
      <c r="C16" s="6" t="str">
        <f>_xlfn.XLOOKUP(Jnl[[#This Row],[TrxId]], Trx[Id], Trx[Division],,0)</f>
        <v>Ctrl</v>
      </c>
      <c r="D16" s="6" t="str">
        <f>_xlfn.XLOOKUP(Jnl[[#This Row],[TrxId]], Trx[Id], Trx[Action],,0)</f>
        <v>结转</v>
      </c>
      <c r="E16" s="30" t="s">
        <v>89</v>
      </c>
      <c r="F16" s="10" t="s">
        <v>12</v>
      </c>
      <c r="G16" s="10" t="s">
        <v>105</v>
      </c>
      <c r="H16" s="21">
        <v>12977.6</v>
      </c>
      <c r="I16" s="4" t="b">
        <f>AND(Jnl[[#This Row],[TrxId]]&lt;&gt;"",Jnl[[#This Row],[Acct]]&lt;&gt;"",Jnl[[#This Row],[Item]]&lt;&gt;"",ISNUMBER(Jnl[[#This Row],[Bal]]))</f>
        <v>1</v>
      </c>
      <c r="J16" s="9">
        <f>IF(Jnl[[#This Row],[BSLv0]]="A",1,-1)*Jnl[[#This Row],[Bal]]</f>
        <v>12977.6</v>
      </c>
      <c r="K16" t="str">
        <f>_xlfn.XLOOKUP(Jnl[[#This Row],[Acct]], config_BS[Acct], config_BS[Lv0],,0)</f>
        <v>A</v>
      </c>
      <c r="L16" t="str">
        <f>_xlfn.XLOOKUP(Jnl[[#This Row],[Acct]], config_BS[Acct], config_BS[Lv1],,0)</f>
        <v>Assets</v>
      </c>
      <c r="M16" t="str">
        <f>_xlfn.XLOOKUP(Jnl[[#This Row],[Acct]], config_BS[Acct], config_BS[Lv2],,0)</f>
        <v>Cash alike</v>
      </c>
      <c r="N16" t="str">
        <f>_xlfn.XLOOKUP(Jnl[[#This Row],[TrxId]], Trx[Id], Trx[IncNode], ,0)</f>
        <v>Other</v>
      </c>
      <c r="O16" t="str">
        <f>_xlfn.XLOOKUP(Jnl[[#This Row],[IncNode]], config_IS[Node], config_IS[Type],,0)</f>
        <v>Non-Op</v>
      </c>
      <c r="P16" t="str">
        <f>_xlfn.XLOOKUP(Jnl[[#This Row],[BSLv2]], dict[Key], dict[Name],,0)</f>
        <v>0.现金及类似</v>
      </c>
      <c r="Q16" t="str">
        <f>_xlfn.XLOOKUP(Jnl[[#This Row],[Acct]], dict[Key], dict[Name],,0)</f>
        <v>银行</v>
      </c>
      <c r="R16" t="str">
        <f>_xlfn.XLOOKUP(Jnl[[#This Row],[Vehicle]],config_vehicle[Id], config_vehicle[Name],,0)</f>
        <v>小月号</v>
      </c>
      <c r="S16" t="str">
        <f>_xlfn.XLOOKUP(Jnl[[#This Row],[Division]],config_div[Id], config_div[Name],,0)</f>
        <v>内控合规</v>
      </c>
      <c r="T16" t="str">
        <f>IF(Jnl[[#This Row],[TrxDate]]&lt;=stmt_BS_date_end, "In", "Out")</f>
        <v>In</v>
      </c>
      <c r="U16" t="str">
        <f>IF(Jnl[[#This Row],[TrxDate]]&lt;debug_date_start, "prior", IF(Jnl[[#This Row],[TrxDate]]&gt;debug_date_end, "post", "curr"))</f>
        <v>prior</v>
      </c>
    </row>
    <row r="17" spans="1:21">
      <c r="A17" s="10" t="s">
        <v>249</v>
      </c>
      <c r="B17" s="6">
        <f>_xlfn.XLOOKUP(Jnl[[#This Row],[TrxId]], Trx[Id], Trx[Date],,0)</f>
        <v>46022</v>
      </c>
      <c r="C17" s="6" t="str">
        <f>_xlfn.XLOOKUP(Jnl[[#This Row],[TrxId]], Trx[Id], Trx[Division],,0)</f>
        <v>Ctrl</v>
      </c>
      <c r="D17" s="6" t="str">
        <f>_xlfn.XLOOKUP(Jnl[[#This Row],[TrxId]], Trx[Id], Trx[Action],,0)</f>
        <v>结转</v>
      </c>
      <c r="E17" s="30" t="s">
        <v>90</v>
      </c>
      <c r="F17" s="10" t="s">
        <v>12</v>
      </c>
      <c r="G17" s="10" t="s">
        <v>106</v>
      </c>
      <c r="H17" s="21">
        <v>30900.25</v>
      </c>
      <c r="I17" s="4" t="b">
        <f>AND(Jnl[[#This Row],[TrxId]]&lt;&gt;"",Jnl[[#This Row],[Acct]]&lt;&gt;"",Jnl[[#This Row],[Item]]&lt;&gt;"",ISNUMBER(Jnl[[#This Row],[Bal]]))</f>
        <v>1</v>
      </c>
      <c r="J17" s="9">
        <f>IF(Jnl[[#This Row],[BSLv0]]="A",1,-1)*Jnl[[#This Row],[Bal]]</f>
        <v>30900.25</v>
      </c>
      <c r="K17" t="str">
        <f>_xlfn.XLOOKUP(Jnl[[#This Row],[Acct]], config_BS[Acct], config_BS[Lv0],,0)</f>
        <v>A</v>
      </c>
      <c r="L17" t="str">
        <f>_xlfn.XLOOKUP(Jnl[[#This Row],[Acct]], config_BS[Acct], config_BS[Lv1],,0)</f>
        <v>Assets</v>
      </c>
      <c r="M17" t="str">
        <f>_xlfn.XLOOKUP(Jnl[[#This Row],[Acct]], config_BS[Acct], config_BS[Lv2],,0)</f>
        <v>Cash alike</v>
      </c>
      <c r="N17" t="str">
        <f>_xlfn.XLOOKUP(Jnl[[#This Row],[TrxId]], Trx[Id], Trx[IncNode], ,0)</f>
        <v>Other</v>
      </c>
      <c r="O17" t="str">
        <f>_xlfn.XLOOKUP(Jnl[[#This Row],[IncNode]], config_IS[Node], config_IS[Type],,0)</f>
        <v>Non-Op</v>
      </c>
      <c r="P17" t="str">
        <f>_xlfn.XLOOKUP(Jnl[[#This Row],[BSLv2]], dict[Key], dict[Name],,0)</f>
        <v>0.现金及类似</v>
      </c>
      <c r="Q17" t="str">
        <f>_xlfn.XLOOKUP(Jnl[[#This Row],[Acct]], dict[Key], dict[Name],,0)</f>
        <v>银行</v>
      </c>
      <c r="R17" t="str">
        <f>_xlfn.XLOOKUP(Jnl[[#This Row],[Vehicle]],config_vehicle[Id], config_vehicle[Name],,0)</f>
        <v>郑术燕</v>
      </c>
      <c r="S17" t="str">
        <f>_xlfn.XLOOKUP(Jnl[[#This Row],[Division]],config_div[Id], config_div[Name],,0)</f>
        <v>内控合规</v>
      </c>
      <c r="T17" t="str">
        <f>IF(Jnl[[#This Row],[TrxDate]]&lt;=stmt_BS_date_end, "In", "Out")</f>
        <v>In</v>
      </c>
      <c r="U17" t="str">
        <f>IF(Jnl[[#This Row],[TrxDate]]&lt;debug_date_start, "prior", IF(Jnl[[#This Row],[TrxDate]]&gt;debug_date_end, "post", "curr"))</f>
        <v>prior</v>
      </c>
    </row>
    <row r="18" spans="1:21">
      <c r="A18" s="10" t="s">
        <v>249</v>
      </c>
      <c r="B18" s="6">
        <f>_xlfn.XLOOKUP(Jnl[[#This Row],[TrxId]], Trx[Id], Trx[Date],,0)</f>
        <v>46022</v>
      </c>
      <c r="C18" s="6" t="str">
        <f>_xlfn.XLOOKUP(Jnl[[#This Row],[TrxId]], Trx[Id], Trx[Division],,0)</f>
        <v>Ctrl</v>
      </c>
      <c r="D18" s="6" t="str">
        <f>_xlfn.XLOOKUP(Jnl[[#This Row],[TrxId]], Trx[Id], Trx[Action],,0)</f>
        <v>结转</v>
      </c>
      <c r="E18" s="30" t="s">
        <v>85</v>
      </c>
      <c r="F18" s="10" t="s">
        <v>12</v>
      </c>
      <c r="G18" s="10" t="s">
        <v>107</v>
      </c>
      <c r="H18" s="21">
        <v>6917.42</v>
      </c>
      <c r="I18" s="4" t="b">
        <f>AND(Jnl[[#This Row],[TrxId]]&lt;&gt;"",Jnl[[#This Row],[Acct]]&lt;&gt;"",Jnl[[#This Row],[Item]]&lt;&gt;"",ISNUMBER(Jnl[[#This Row],[Bal]]))</f>
        <v>1</v>
      </c>
      <c r="J18" s="9">
        <f>IF(Jnl[[#This Row],[BSLv0]]="A",1,-1)*Jnl[[#This Row],[Bal]]</f>
        <v>6917.42</v>
      </c>
      <c r="K18" t="str">
        <f>_xlfn.XLOOKUP(Jnl[[#This Row],[Acct]], config_BS[Acct], config_BS[Lv0],,0)</f>
        <v>A</v>
      </c>
      <c r="L18" t="str">
        <f>_xlfn.XLOOKUP(Jnl[[#This Row],[Acct]], config_BS[Acct], config_BS[Lv1],,0)</f>
        <v>Assets</v>
      </c>
      <c r="M18" t="str">
        <f>_xlfn.XLOOKUP(Jnl[[#This Row],[Acct]], config_BS[Acct], config_BS[Lv2],,0)</f>
        <v>Cash alike</v>
      </c>
      <c r="N18" t="str">
        <f>_xlfn.XLOOKUP(Jnl[[#This Row],[TrxId]], Trx[Id], Trx[IncNode], ,0)</f>
        <v>Other</v>
      </c>
      <c r="O18" t="str">
        <f>_xlfn.XLOOKUP(Jnl[[#This Row],[IncNode]], config_IS[Node], config_IS[Type],,0)</f>
        <v>Non-Op</v>
      </c>
      <c r="P18" t="str">
        <f>_xlfn.XLOOKUP(Jnl[[#This Row],[BSLv2]], dict[Key], dict[Name],,0)</f>
        <v>0.现金及类似</v>
      </c>
      <c r="Q18" t="str">
        <f>_xlfn.XLOOKUP(Jnl[[#This Row],[Acct]], dict[Key], dict[Name],,0)</f>
        <v>银行</v>
      </c>
      <c r="R18" t="str">
        <f>_xlfn.XLOOKUP(Jnl[[#This Row],[Vehicle]],config_vehicle[Id], config_vehicle[Name],,0)</f>
        <v>远家文化</v>
      </c>
      <c r="S18" t="str">
        <f>_xlfn.XLOOKUP(Jnl[[#This Row],[Division]],config_div[Id], config_div[Name],,0)</f>
        <v>内控合规</v>
      </c>
      <c r="T18" t="str">
        <f>IF(Jnl[[#This Row],[TrxDate]]&lt;=stmt_BS_date_end, "In", "Out")</f>
        <v>In</v>
      </c>
      <c r="U18" t="str">
        <f>IF(Jnl[[#This Row],[TrxDate]]&lt;debug_date_start, "prior", IF(Jnl[[#This Row],[TrxDate]]&gt;debug_date_end, "post", "curr"))</f>
        <v>prior</v>
      </c>
    </row>
    <row r="19" spans="1:21">
      <c r="A19" s="10" t="s">
        <v>249</v>
      </c>
      <c r="B19" s="6">
        <f>_xlfn.XLOOKUP(Jnl[[#This Row],[TrxId]], Trx[Id], Trx[Date],,0)</f>
        <v>46022</v>
      </c>
      <c r="C19" s="6" t="str">
        <f>_xlfn.XLOOKUP(Jnl[[#This Row],[TrxId]], Trx[Id], Trx[Division],,0)</f>
        <v>Ctrl</v>
      </c>
      <c r="D19" s="6" t="str">
        <f>_xlfn.XLOOKUP(Jnl[[#This Row],[TrxId]], Trx[Id], Trx[Action],,0)</f>
        <v>结转</v>
      </c>
      <c r="E19" s="30" t="s">
        <v>110</v>
      </c>
      <c r="F19" s="10" t="s">
        <v>12</v>
      </c>
      <c r="G19" s="10" t="s">
        <v>108</v>
      </c>
      <c r="H19" s="21">
        <v>709.51</v>
      </c>
      <c r="I19" s="4" t="b">
        <f>AND(Jnl[[#This Row],[TrxId]]&lt;&gt;"",Jnl[[#This Row],[Acct]]&lt;&gt;"",Jnl[[#This Row],[Item]]&lt;&gt;"",ISNUMBER(Jnl[[#This Row],[Bal]]))</f>
        <v>1</v>
      </c>
      <c r="J19" s="9">
        <f>IF(Jnl[[#This Row],[BSLv0]]="A",1,-1)*Jnl[[#This Row],[Bal]]</f>
        <v>709.51</v>
      </c>
      <c r="K19" t="str">
        <f>_xlfn.XLOOKUP(Jnl[[#This Row],[Acct]], config_BS[Acct], config_BS[Lv0],,0)</f>
        <v>A</v>
      </c>
      <c r="L19" t="str">
        <f>_xlfn.XLOOKUP(Jnl[[#This Row],[Acct]], config_BS[Acct], config_BS[Lv1],,0)</f>
        <v>Assets</v>
      </c>
      <c r="M19" t="str">
        <f>_xlfn.XLOOKUP(Jnl[[#This Row],[Acct]], config_BS[Acct], config_BS[Lv2],,0)</f>
        <v>Cash alike</v>
      </c>
      <c r="N19" t="str">
        <f>_xlfn.XLOOKUP(Jnl[[#This Row],[TrxId]], Trx[Id], Trx[IncNode], ,0)</f>
        <v>Other</v>
      </c>
      <c r="O19" t="str">
        <f>_xlfn.XLOOKUP(Jnl[[#This Row],[IncNode]], config_IS[Node], config_IS[Type],,0)</f>
        <v>Non-Op</v>
      </c>
      <c r="P19" t="str">
        <f>_xlfn.XLOOKUP(Jnl[[#This Row],[BSLv2]], dict[Key], dict[Name],,0)</f>
        <v>0.现金及类似</v>
      </c>
      <c r="Q19" t="str">
        <f>_xlfn.XLOOKUP(Jnl[[#This Row],[Acct]], dict[Key], dict[Name],,0)</f>
        <v>银行</v>
      </c>
      <c r="R19" t="str">
        <f>_xlfn.XLOOKUP(Jnl[[#This Row],[Vehicle]],config_vehicle[Id], config_vehicle[Name],,0)</f>
        <v>远家文化蒲江分公司</v>
      </c>
      <c r="S19" t="str">
        <f>_xlfn.XLOOKUP(Jnl[[#This Row],[Division]],config_div[Id], config_div[Name],,0)</f>
        <v>内控合规</v>
      </c>
      <c r="T19" t="str">
        <f>IF(Jnl[[#This Row],[TrxDate]]&lt;=stmt_BS_date_end, "In", "Out")</f>
        <v>In</v>
      </c>
      <c r="U19" t="str">
        <f>IF(Jnl[[#This Row],[TrxDate]]&lt;debug_date_start, "prior", IF(Jnl[[#This Row],[TrxDate]]&gt;debug_date_end, "post", "curr"))</f>
        <v>prior</v>
      </c>
    </row>
    <row r="20" spans="1:21">
      <c r="A20" s="10" t="s">
        <v>249</v>
      </c>
      <c r="B20" s="6">
        <f>_xlfn.XLOOKUP(Jnl[[#This Row],[TrxId]], Trx[Id], Trx[Date],,0)</f>
        <v>46022</v>
      </c>
      <c r="C20" s="6" t="str">
        <f>_xlfn.XLOOKUP(Jnl[[#This Row],[TrxId]], Trx[Id], Trx[Division],,0)</f>
        <v>Ctrl</v>
      </c>
      <c r="D20" s="6" t="str">
        <f>_xlfn.XLOOKUP(Jnl[[#This Row],[TrxId]], Trx[Id], Trx[Action],,0)</f>
        <v>结转</v>
      </c>
      <c r="E20" s="30" t="s">
        <v>110</v>
      </c>
      <c r="F20" s="10" t="s">
        <v>14</v>
      </c>
      <c r="G20" s="10" t="s">
        <v>139</v>
      </c>
      <c r="H20" s="21">
        <v>20812</v>
      </c>
      <c r="I20" s="4" t="b">
        <f>AND(Jnl[[#This Row],[TrxId]]&lt;&gt;"",Jnl[[#This Row],[Acct]]&lt;&gt;"",Jnl[[#This Row],[Item]]&lt;&gt;"",ISNUMBER(Jnl[[#This Row],[Bal]]))</f>
        <v>1</v>
      </c>
      <c r="J20" s="9">
        <f>IF(Jnl[[#This Row],[BSLv0]]="A",1,-1)*Jnl[[#This Row],[Bal]]</f>
        <v>20812</v>
      </c>
      <c r="K20" t="str">
        <f>_xlfn.XLOOKUP(Jnl[[#This Row],[Acct]], config_BS[Acct], config_BS[Lv0],,0)</f>
        <v>A</v>
      </c>
      <c r="L20" t="str">
        <f>_xlfn.XLOOKUP(Jnl[[#This Row],[Acct]], config_BS[Acct], config_BS[Lv1],,0)</f>
        <v>Assets</v>
      </c>
      <c r="M20" t="str">
        <f>_xlfn.XLOOKUP(Jnl[[#This Row],[Acct]], config_BS[Acct], config_BS[Lv2],,0)</f>
        <v>Cash alike</v>
      </c>
      <c r="N20" t="str">
        <f>_xlfn.XLOOKUP(Jnl[[#This Row],[TrxId]], Trx[Id], Trx[IncNode], ,0)</f>
        <v>Other</v>
      </c>
      <c r="O20" t="str">
        <f>_xlfn.XLOOKUP(Jnl[[#This Row],[IncNode]], config_IS[Node], config_IS[Type],,0)</f>
        <v>Non-Op</v>
      </c>
      <c r="P20" t="str">
        <f>_xlfn.XLOOKUP(Jnl[[#This Row],[BSLv2]], dict[Key], dict[Name],,0)</f>
        <v>0.现金及类似</v>
      </c>
      <c r="Q20" t="str">
        <f>_xlfn.XLOOKUP(Jnl[[#This Row],[Acct]], dict[Key], dict[Name],,0)</f>
        <v>物理现金</v>
      </c>
      <c r="R20" t="str">
        <f>_xlfn.XLOOKUP(Jnl[[#This Row],[Vehicle]],config_vehicle[Id], config_vehicle[Name],,0)</f>
        <v>远家文化蒲江分公司</v>
      </c>
      <c r="S20" t="str">
        <f>_xlfn.XLOOKUP(Jnl[[#This Row],[Division]],config_div[Id], config_div[Name],,0)</f>
        <v>内控合规</v>
      </c>
      <c r="T20" t="str">
        <f>IF(Jnl[[#This Row],[TrxDate]]&lt;=stmt_BS_date_end, "In", "Out")</f>
        <v>In</v>
      </c>
      <c r="U20" t="str">
        <f>IF(Jnl[[#This Row],[TrxDate]]&lt;debug_date_start, "prior", IF(Jnl[[#This Row],[TrxDate]]&gt;debug_date_end, "post", "curr"))</f>
        <v>prior</v>
      </c>
    </row>
    <row r="21" spans="1:21">
      <c r="A21" s="10" t="s">
        <v>249</v>
      </c>
      <c r="B21" s="6">
        <f>_xlfn.XLOOKUP(Jnl[[#This Row],[TrxId]], Trx[Id], Trx[Date],,0)</f>
        <v>46022</v>
      </c>
      <c r="C21" s="6" t="str">
        <f>_xlfn.XLOOKUP(Jnl[[#This Row],[TrxId]], Trx[Id], Trx[Division],,0)</f>
        <v>Ctrl</v>
      </c>
      <c r="D21" s="6" t="str">
        <f>_xlfn.XLOOKUP(Jnl[[#This Row],[TrxId]], Trx[Id], Trx[Action],,0)</f>
        <v>结转</v>
      </c>
      <c r="E21" s="30" t="s">
        <v>114</v>
      </c>
      <c r="F21" s="10" t="s">
        <v>12</v>
      </c>
      <c r="G21" s="10" t="s">
        <v>111</v>
      </c>
      <c r="H21" s="21">
        <v>630993.46</v>
      </c>
      <c r="I21" s="4" t="b">
        <f>AND(Jnl[[#This Row],[TrxId]]&lt;&gt;"",Jnl[[#This Row],[Acct]]&lt;&gt;"",Jnl[[#This Row],[Item]]&lt;&gt;"",ISNUMBER(Jnl[[#This Row],[Bal]]))</f>
        <v>1</v>
      </c>
      <c r="J21" s="9">
        <f>IF(Jnl[[#This Row],[BSLv0]]="A",1,-1)*Jnl[[#This Row],[Bal]]</f>
        <v>630993.46</v>
      </c>
      <c r="K21" t="str">
        <f>_xlfn.XLOOKUP(Jnl[[#This Row],[Acct]], config_BS[Acct], config_BS[Lv0],,0)</f>
        <v>A</v>
      </c>
      <c r="L21" t="str">
        <f>_xlfn.XLOOKUP(Jnl[[#This Row],[Acct]], config_BS[Acct], config_BS[Lv1],,0)</f>
        <v>Assets</v>
      </c>
      <c r="M21" t="str">
        <f>_xlfn.XLOOKUP(Jnl[[#This Row],[Acct]], config_BS[Acct], config_BS[Lv2],,0)</f>
        <v>Cash alike</v>
      </c>
      <c r="N21" t="str">
        <f>_xlfn.XLOOKUP(Jnl[[#This Row],[TrxId]], Trx[Id], Trx[IncNode], ,0)</f>
        <v>Other</v>
      </c>
      <c r="O21" t="str">
        <f>_xlfn.XLOOKUP(Jnl[[#This Row],[IncNode]], config_IS[Node], config_IS[Type],,0)</f>
        <v>Non-Op</v>
      </c>
      <c r="P21" t="str">
        <f>_xlfn.XLOOKUP(Jnl[[#This Row],[BSLv2]], dict[Key], dict[Name],,0)</f>
        <v>0.现金及类似</v>
      </c>
      <c r="Q21" t="str">
        <f>_xlfn.XLOOKUP(Jnl[[#This Row],[Acct]], dict[Key], dict[Name],,0)</f>
        <v>银行</v>
      </c>
      <c r="R21" t="str">
        <f>_xlfn.XLOOKUP(Jnl[[#This Row],[Vehicle]],config_vehicle[Id], config_vehicle[Name],,0)</f>
        <v>染匠文化</v>
      </c>
      <c r="S21" t="str">
        <f>_xlfn.XLOOKUP(Jnl[[#This Row],[Division]],config_div[Id], config_div[Name],,0)</f>
        <v>内控合规</v>
      </c>
      <c r="T21" t="str">
        <f>IF(Jnl[[#This Row],[TrxDate]]&lt;=stmt_BS_date_end, "In", "Out")</f>
        <v>In</v>
      </c>
      <c r="U21" t="str">
        <f>IF(Jnl[[#This Row],[TrxDate]]&lt;debug_date_start, "prior", IF(Jnl[[#This Row],[TrxDate]]&gt;debug_date_end, "post", "curr"))</f>
        <v>prior</v>
      </c>
    </row>
    <row r="22" spans="1:21">
      <c r="A22" s="10" t="s">
        <v>249</v>
      </c>
      <c r="B22" s="6">
        <f>_xlfn.XLOOKUP(Jnl[[#This Row],[TrxId]], Trx[Id], Trx[Date],,0)</f>
        <v>46022</v>
      </c>
      <c r="C22" s="6" t="str">
        <f>_xlfn.XLOOKUP(Jnl[[#This Row],[TrxId]], Trx[Id], Trx[Division],,0)</f>
        <v>Ctrl</v>
      </c>
      <c r="D22" s="6" t="str">
        <f>_xlfn.XLOOKUP(Jnl[[#This Row],[TrxId]], Trx[Id], Trx[Action],,0)</f>
        <v>结转</v>
      </c>
      <c r="E22" s="30" t="s">
        <v>114</v>
      </c>
      <c r="F22" s="10" t="s">
        <v>12</v>
      </c>
      <c r="G22" s="10" t="s">
        <v>112</v>
      </c>
      <c r="H22" s="21">
        <v>20124.45</v>
      </c>
      <c r="I22" s="4" t="b">
        <f>AND(Jnl[[#This Row],[TrxId]]&lt;&gt;"",Jnl[[#This Row],[Acct]]&lt;&gt;"",Jnl[[#This Row],[Item]]&lt;&gt;"",ISNUMBER(Jnl[[#This Row],[Bal]]))</f>
        <v>1</v>
      </c>
      <c r="J22" s="9">
        <f>IF(Jnl[[#This Row],[BSLv0]]="A",1,-1)*Jnl[[#This Row],[Bal]]</f>
        <v>20124.45</v>
      </c>
      <c r="K22" t="str">
        <f>_xlfn.XLOOKUP(Jnl[[#This Row],[Acct]], config_BS[Acct], config_BS[Lv0],,0)</f>
        <v>A</v>
      </c>
      <c r="L22" t="str">
        <f>_xlfn.XLOOKUP(Jnl[[#This Row],[Acct]], config_BS[Acct], config_BS[Lv1],,0)</f>
        <v>Assets</v>
      </c>
      <c r="M22" t="str">
        <f>_xlfn.XLOOKUP(Jnl[[#This Row],[Acct]], config_BS[Acct], config_BS[Lv2],,0)</f>
        <v>Cash alike</v>
      </c>
      <c r="N22" t="str">
        <f>_xlfn.XLOOKUP(Jnl[[#This Row],[TrxId]], Trx[Id], Trx[IncNode], ,0)</f>
        <v>Other</v>
      </c>
      <c r="O22" t="str">
        <f>_xlfn.XLOOKUP(Jnl[[#This Row],[IncNode]], config_IS[Node], config_IS[Type],,0)</f>
        <v>Non-Op</v>
      </c>
      <c r="P22" t="str">
        <f>_xlfn.XLOOKUP(Jnl[[#This Row],[BSLv2]], dict[Key], dict[Name],,0)</f>
        <v>0.现金及类似</v>
      </c>
      <c r="Q22" t="str">
        <f>_xlfn.XLOOKUP(Jnl[[#This Row],[Acct]], dict[Key], dict[Name],,0)</f>
        <v>银行</v>
      </c>
      <c r="R22" t="str">
        <f>_xlfn.XLOOKUP(Jnl[[#This Row],[Vehicle]],config_vehicle[Id], config_vehicle[Name],,0)</f>
        <v>染匠文化</v>
      </c>
      <c r="S22" t="str">
        <f>_xlfn.XLOOKUP(Jnl[[#This Row],[Division]],config_div[Id], config_div[Name],,0)</f>
        <v>内控合规</v>
      </c>
      <c r="T22" t="str">
        <f>IF(Jnl[[#This Row],[TrxDate]]&lt;=stmt_BS_date_end, "In", "Out")</f>
        <v>In</v>
      </c>
      <c r="U22" t="str">
        <f>IF(Jnl[[#This Row],[TrxDate]]&lt;debug_date_start, "prior", IF(Jnl[[#This Row],[TrxDate]]&gt;debug_date_end, "post", "curr"))</f>
        <v>prior</v>
      </c>
    </row>
    <row r="23" spans="1:21">
      <c r="A23" s="10" t="s">
        <v>249</v>
      </c>
      <c r="B23" s="6">
        <f>_xlfn.XLOOKUP(Jnl[[#This Row],[TrxId]], Trx[Id], Trx[Date],,0)</f>
        <v>46022</v>
      </c>
      <c r="C23" s="6" t="str">
        <f>_xlfn.XLOOKUP(Jnl[[#This Row],[TrxId]], Trx[Id], Trx[Division],,0)</f>
        <v>Ctrl</v>
      </c>
      <c r="D23" s="6" t="str">
        <f>_xlfn.XLOOKUP(Jnl[[#This Row],[TrxId]], Trx[Id], Trx[Action],,0)</f>
        <v>结转</v>
      </c>
      <c r="E23" s="30" t="s">
        <v>83</v>
      </c>
      <c r="F23" s="10" t="s">
        <v>116</v>
      </c>
      <c r="G23" s="10" t="s">
        <v>142</v>
      </c>
      <c r="H23" s="21">
        <v>18526.13</v>
      </c>
      <c r="I23" s="4" t="b">
        <f>AND(Jnl[[#This Row],[TrxId]]&lt;&gt;"",Jnl[[#This Row],[Acct]]&lt;&gt;"",Jnl[[#This Row],[Item]]&lt;&gt;"",ISNUMBER(Jnl[[#This Row],[Bal]]))</f>
        <v>1</v>
      </c>
      <c r="J23" s="9">
        <f>IF(Jnl[[#This Row],[BSLv0]]="A",1,-1)*Jnl[[#This Row],[Bal]]</f>
        <v>18526.13</v>
      </c>
      <c r="K23" t="str">
        <f>_xlfn.XLOOKUP(Jnl[[#This Row],[Acct]], config_BS[Acct], config_BS[Lv0],,0)</f>
        <v>A</v>
      </c>
      <c r="L23" t="str">
        <f>_xlfn.XLOOKUP(Jnl[[#This Row],[Acct]], config_BS[Acct], config_BS[Lv1],,0)</f>
        <v>Assets</v>
      </c>
      <c r="M23" t="str">
        <f>_xlfn.XLOOKUP(Jnl[[#This Row],[Acct]], config_BS[Acct], config_BS[Lv2],,0)</f>
        <v>Rec-Pay</v>
      </c>
      <c r="N23" t="str">
        <f>_xlfn.XLOOKUP(Jnl[[#This Row],[TrxId]], Trx[Id], Trx[IncNode], ,0)</f>
        <v>Other</v>
      </c>
      <c r="O23" t="str">
        <f>_xlfn.XLOOKUP(Jnl[[#This Row],[IncNode]], config_IS[Node], config_IS[Type],,0)</f>
        <v>Non-Op</v>
      </c>
      <c r="P23" t="str">
        <f>_xlfn.XLOOKUP(Jnl[[#This Row],[BSLv2]], dict[Key], dict[Name],,0)</f>
        <v>1.应收-应付</v>
      </c>
      <c r="Q23" t="str">
        <f>_xlfn.XLOOKUP(Jnl[[#This Row],[Acct]], dict[Key], dict[Name],,0)</f>
        <v>应收-一般</v>
      </c>
      <c r="R23" t="str">
        <f>_xlfn.XLOOKUP(Jnl[[#This Row],[Vehicle]],config_vehicle[Id], config_vehicle[Name],,0)</f>
        <v>喜家文化</v>
      </c>
      <c r="S23" t="str">
        <f>_xlfn.XLOOKUP(Jnl[[#This Row],[Division]],config_div[Id], config_div[Name],,0)</f>
        <v>内控合规</v>
      </c>
      <c r="T23" t="str">
        <f>IF(Jnl[[#This Row],[TrxDate]]&lt;=stmt_BS_date_end, "In", "Out")</f>
        <v>In</v>
      </c>
      <c r="U23" t="str">
        <f>IF(Jnl[[#This Row],[TrxDate]]&lt;debug_date_start, "prior", IF(Jnl[[#This Row],[TrxDate]]&gt;debug_date_end, "post", "curr"))</f>
        <v>prior</v>
      </c>
    </row>
    <row r="24" spans="1:21">
      <c r="A24" s="10" t="s">
        <v>249</v>
      </c>
      <c r="B24" s="6">
        <f>_xlfn.XLOOKUP(Jnl[[#This Row],[TrxId]], Trx[Id], Trx[Date],,0)</f>
        <v>46022</v>
      </c>
      <c r="C24" s="6" t="str">
        <f>_xlfn.XLOOKUP(Jnl[[#This Row],[TrxId]], Trx[Id], Trx[Division],,0)</f>
        <v>Ctrl</v>
      </c>
      <c r="D24" s="6" t="str">
        <f>_xlfn.XLOOKUP(Jnl[[#This Row],[TrxId]], Trx[Id], Trx[Action],,0)</f>
        <v>结转</v>
      </c>
      <c r="E24" s="30" t="s">
        <v>83</v>
      </c>
      <c r="F24" s="10" t="s">
        <v>208</v>
      </c>
      <c r="G24" s="10" t="s">
        <v>141</v>
      </c>
      <c r="H24" s="21">
        <v>2385.75</v>
      </c>
      <c r="I24" s="4" t="b">
        <f>AND(Jnl[[#This Row],[TrxId]]&lt;&gt;"",Jnl[[#This Row],[Acct]]&lt;&gt;"",Jnl[[#This Row],[Item]]&lt;&gt;"",ISNUMBER(Jnl[[#This Row],[Bal]]))</f>
        <v>1</v>
      </c>
      <c r="J24" s="9">
        <f>IF(Jnl[[#This Row],[BSLv0]]="A",1,-1)*Jnl[[#This Row],[Bal]]</f>
        <v>2385.75</v>
      </c>
      <c r="K24" t="str">
        <f>_xlfn.XLOOKUP(Jnl[[#This Row],[Acct]], config_BS[Acct], config_BS[Lv0],,0)</f>
        <v>A</v>
      </c>
      <c r="L24" t="str">
        <f>_xlfn.XLOOKUP(Jnl[[#This Row],[Acct]], config_BS[Acct], config_BS[Lv1],,0)</f>
        <v>Assets</v>
      </c>
      <c r="M24" t="str">
        <f>_xlfn.XLOOKUP(Jnl[[#This Row],[Acct]], config_BS[Acct], config_BS[Lv2],,0)</f>
        <v>Rec-Pay</v>
      </c>
      <c r="N24" t="str">
        <f>_xlfn.XLOOKUP(Jnl[[#This Row],[TrxId]], Trx[Id], Trx[IncNode], ,0)</f>
        <v>Other</v>
      </c>
      <c r="O24" t="str">
        <f>_xlfn.XLOOKUP(Jnl[[#This Row],[IncNode]], config_IS[Node], config_IS[Type],,0)</f>
        <v>Non-Op</v>
      </c>
      <c r="P24" t="str">
        <f>_xlfn.XLOOKUP(Jnl[[#This Row],[BSLv2]], dict[Key], dict[Name],,0)</f>
        <v>1.应收-应付</v>
      </c>
      <c r="Q24" t="str">
        <f>_xlfn.XLOOKUP(Jnl[[#This Row],[Acct]], dict[Key], dict[Name],,0)</f>
        <v>应收-其他</v>
      </c>
      <c r="R24" t="str">
        <f>_xlfn.XLOOKUP(Jnl[[#This Row],[Vehicle]],config_vehicle[Id], config_vehicle[Name],,0)</f>
        <v>喜家文化</v>
      </c>
      <c r="S24" t="str">
        <f>_xlfn.XLOOKUP(Jnl[[#This Row],[Division]],config_div[Id], config_div[Name],,0)</f>
        <v>内控合规</v>
      </c>
      <c r="T24" t="str">
        <f>IF(Jnl[[#This Row],[TrxDate]]&lt;=stmt_BS_date_end, "In", "Out")</f>
        <v>In</v>
      </c>
      <c r="U24" t="str">
        <f>IF(Jnl[[#This Row],[TrxDate]]&lt;debug_date_start, "prior", IF(Jnl[[#This Row],[TrxDate]]&gt;debug_date_end, "post", "curr"))</f>
        <v>prior</v>
      </c>
    </row>
    <row r="25" spans="1:21">
      <c r="A25" s="10" t="s">
        <v>249</v>
      </c>
      <c r="B25" s="6">
        <f>_xlfn.XLOOKUP(Jnl[[#This Row],[TrxId]], Trx[Id], Trx[Date],,0)</f>
        <v>46022</v>
      </c>
      <c r="C25" s="6" t="str">
        <f>_xlfn.XLOOKUP(Jnl[[#This Row],[TrxId]], Trx[Id], Trx[Division],,0)</f>
        <v>Ctrl</v>
      </c>
      <c r="D25" s="6" t="str">
        <f>_xlfn.XLOOKUP(Jnl[[#This Row],[TrxId]], Trx[Id], Trx[Action],,0)</f>
        <v>结转</v>
      </c>
      <c r="E25" s="30" t="s">
        <v>83</v>
      </c>
      <c r="F25" s="10" t="s">
        <v>201</v>
      </c>
      <c r="G25" s="10" t="s">
        <v>143</v>
      </c>
      <c r="H25" s="21">
        <v>100000</v>
      </c>
      <c r="I25" s="4" t="b">
        <f>AND(Jnl[[#This Row],[TrxId]]&lt;&gt;"",Jnl[[#This Row],[Acct]]&lt;&gt;"",Jnl[[#This Row],[Item]]&lt;&gt;"",ISNUMBER(Jnl[[#This Row],[Bal]]))</f>
        <v>1</v>
      </c>
      <c r="J25" s="9">
        <f>IF(Jnl[[#This Row],[BSLv0]]="A",1,-1)*Jnl[[#This Row],[Bal]]</f>
        <v>100000</v>
      </c>
      <c r="K25" t="str">
        <f>_xlfn.XLOOKUP(Jnl[[#This Row],[Acct]], config_BS[Acct], config_BS[Lv0],,0)</f>
        <v>A</v>
      </c>
      <c r="L25" t="str">
        <f>_xlfn.XLOOKUP(Jnl[[#This Row],[Acct]], config_BS[Acct], config_BS[Lv1],,0)</f>
        <v>Assets</v>
      </c>
      <c r="M25" t="str">
        <f>_xlfn.XLOOKUP(Jnl[[#This Row],[Acct]], config_BS[Acct], config_BS[Lv2],,0)</f>
        <v>Prep-Sub</v>
      </c>
      <c r="N25" t="str">
        <f>_xlfn.XLOOKUP(Jnl[[#This Row],[TrxId]], Trx[Id], Trx[IncNode], ,0)</f>
        <v>Other</v>
      </c>
      <c r="O25" t="str">
        <f>_xlfn.XLOOKUP(Jnl[[#This Row],[IncNode]], config_IS[Node], config_IS[Type],,0)</f>
        <v>Non-Op</v>
      </c>
      <c r="P25" t="str">
        <f>_xlfn.XLOOKUP(Jnl[[#This Row],[BSLv2]], dict[Key], dict[Name],,0)</f>
        <v>2.预付-订阅</v>
      </c>
      <c r="Q25" t="str">
        <f>_xlfn.XLOOKUP(Jnl[[#This Row],[Acct]], dict[Key], dict[Name],,0)</f>
        <v>押金</v>
      </c>
      <c r="R25" t="str">
        <f>_xlfn.XLOOKUP(Jnl[[#This Row],[Vehicle]],config_vehicle[Id], config_vehicle[Name],,0)</f>
        <v>喜家文化</v>
      </c>
      <c r="S25" t="str">
        <f>_xlfn.XLOOKUP(Jnl[[#This Row],[Division]],config_div[Id], config_div[Name],,0)</f>
        <v>内控合规</v>
      </c>
      <c r="T25" t="str">
        <f>IF(Jnl[[#This Row],[TrxDate]]&lt;=stmt_BS_date_end, "In", "Out")</f>
        <v>In</v>
      </c>
      <c r="U25" t="str">
        <f>IF(Jnl[[#This Row],[TrxDate]]&lt;debug_date_start, "prior", IF(Jnl[[#This Row],[TrxDate]]&gt;debug_date_end, "post", "curr"))</f>
        <v>prior</v>
      </c>
    </row>
    <row r="26" spans="1:21">
      <c r="A26" s="10" t="s">
        <v>249</v>
      </c>
      <c r="B26" s="6">
        <f>_xlfn.XLOOKUP(Jnl[[#This Row],[TrxId]], Trx[Id], Trx[Date],,0)</f>
        <v>46022</v>
      </c>
      <c r="C26" s="6" t="str">
        <f>_xlfn.XLOOKUP(Jnl[[#This Row],[TrxId]], Trx[Id], Trx[Division],,0)</f>
        <v>Ctrl</v>
      </c>
      <c r="D26" s="6" t="str">
        <f>_xlfn.XLOOKUP(Jnl[[#This Row],[TrxId]], Trx[Id], Trx[Action],,0)</f>
        <v>结转</v>
      </c>
      <c r="E26" s="30" t="s">
        <v>82</v>
      </c>
      <c r="F26" s="10" t="s">
        <v>116</v>
      </c>
      <c r="G26" s="10" t="s">
        <v>142</v>
      </c>
      <c r="H26" s="21">
        <v>289043.94</v>
      </c>
      <c r="I26" s="4" t="b">
        <f>AND(Jnl[[#This Row],[TrxId]]&lt;&gt;"",Jnl[[#This Row],[Acct]]&lt;&gt;"",Jnl[[#This Row],[Item]]&lt;&gt;"",ISNUMBER(Jnl[[#This Row],[Bal]]))</f>
        <v>1</v>
      </c>
      <c r="J26" s="9">
        <f>IF(Jnl[[#This Row],[BSLv0]]="A",1,-1)*Jnl[[#This Row],[Bal]]</f>
        <v>289043.94</v>
      </c>
      <c r="K26" t="str">
        <f>_xlfn.XLOOKUP(Jnl[[#This Row],[Acct]], config_BS[Acct], config_BS[Lv0],,0)</f>
        <v>A</v>
      </c>
      <c r="L26" t="str">
        <f>_xlfn.XLOOKUP(Jnl[[#This Row],[Acct]], config_BS[Acct], config_BS[Lv1],,0)</f>
        <v>Assets</v>
      </c>
      <c r="M26" t="str">
        <f>_xlfn.XLOOKUP(Jnl[[#This Row],[Acct]], config_BS[Acct], config_BS[Lv2],,0)</f>
        <v>Rec-Pay</v>
      </c>
      <c r="N26" t="str">
        <f>_xlfn.XLOOKUP(Jnl[[#This Row],[TrxId]], Trx[Id], Trx[IncNode], ,0)</f>
        <v>Other</v>
      </c>
      <c r="O26" t="str">
        <f>_xlfn.XLOOKUP(Jnl[[#This Row],[IncNode]], config_IS[Node], config_IS[Type],,0)</f>
        <v>Non-Op</v>
      </c>
      <c r="P26" t="str">
        <f>_xlfn.XLOOKUP(Jnl[[#This Row],[BSLv2]], dict[Key], dict[Name],,0)</f>
        <v>1.应收-应付</v>
      </c>
      <c r="Q26" t="str">
        <f>_xlfn.XLOOKUP(Jnl[[#This Row],[Acct]], dict[Key], dict[Name],,0)</f>
        <v>应收-一般</v>
      </c>
      <c r="R26" t="str">
        <f>_xlfn.XLOOKUP(Jnl[[#This Row],[Vehicle]],config_vehicle[Id], config_vehicle[Name],,0)</f>
        <v>远家花园</v>
      </c>
      <c r="S26" t="str">
        <f>_xlfn.XLOOKUP(Jnl[[#This Row],[Division]],config_div[Id], config_div[Name],,0)</f>
        <v>内控合规</v>
      </c>
      <c r="T26" t="str">
        <f>IF(Jnl[[#This Row],[TrxDate]]&lt;=stmt_BS_date_end, "In", "Out")</f>
        <v>In</v>
      </c>
      <c r="U26" t="str">
        <f>IF(Jnl[[#This Row],[TrxDate]]&lt;debug_date_start, "prior", IF(Jnl[[#This Row],[TrxDate]]&gt;debug_date_end, "post", "curr"))</f>
        <v>prior</v>
      </c>
    </row>
    <row r="27" spans="1:21">
      <c r="A27" s="10" t="s">
        <v>249</v>
      </c>
      <c r="B27" s="6">
        <f>_xlfn.XLOOKUP(Jnl[[#This Row],[TrxId]], Trx[Id], Trx[Date],,0)</f>
        <v>46022</v>
      </c>
      <c r="C27" s="6" t="str">
        <f>_xlfn.XLOOKUP(Jnl[[#This Row],[TrxId]], Trx[Id], Trx[Division],,0)</f>
        <v>Ctrl</v>
      </c>
      <c r="D27" s="6" t="str">
        <f>_xlfn.XLOOKUP(Jnl[[#This Row],[TrxId]], Trx[Id], Trx[Action],,0)</f>
        <v>结转</v>
      </c>
      <c r="E27" s="30" t="s">
        <v>82</v>
      </c>
      <c r="F27" s="10" t="s">
        <v>208</v>
      </c>
      <c r="G27" s="10" t="s">
        <v>141</v>
      </c>
      <c r="H27" s="21">
        <v>24591.75</v>
      </c>
      <c r="I27" s="4" t="b">
        <f>AND(Jnl[[#This Row],[TrxId]]&lt;&gt;"",Jnl[[#This Row],[Acct]]&lt;&gt;"",Jnl[[#This Row],[Item]]&lt;&gt;"",ISNUMBER(Jnl[[#This Row],[Bal]]))</f>
        <v>1</v>
      </c>
      <c r="J27" s="9">
        <f>IF(Jnl[[#This Row],[BSLv0]]="A",1,-1)*Jnl[[#This Row],[Bal]]</f>
        <v>24591.75</v>
      </c>
      <c r="K27" t="str">
        <f>_xlfn.XLOOKUP(Jnl[[#This Row],[Acct]], config_BS[Acct], config_BS[Lv0],,0)</f>
        <v>A</v>
      </c>
      <c r="L27" t="str">
        <f>_xlfn.XLOOKUP(Jnl[[#This Row],[Acct]], config_BS[Acct], config_BS[Lv1],,0)</f>
        <v>Assets</v>
      </c>
      <c r="M27" t="str">
        <f>_xlfn.XLOOKUP(Jnl[[#This Row],[Acct]], config_BS[Acct], config_BS[Lv2],,0)</f>
        <v>Rec-Pay</v>
      </c>
      <c r="N27" t="str">
        <f>_xlfn.XLOOKUP(Jnl[[#This Row],[TrxId]], Trx[Id], Trx[IncNode], ,0)</f>
        <v>Other</v>
      </c>
      <c r="O27" t="str">
        <f>_xlfn.XLOOKUP(Jnl[[#This Row],[IncNode]], config_IS[Node], config_IS[Type],,0)</f>
        <v>Non-Op</v>
      </c>
      <c r="P27" t="str">
        <f>_xlfn.XLOOKUP(Jnl[[#This Row],[BSLv2]], dict[Key], dict[Name],,0)</f>
        <v>1.应收-应付</v>
      </c>
      <c r="Q27" t="str">
        <f>_xlfn.XLOOKUP(Jnl[[#This Row],[Acct]], dict[Key], dict[Name],,0)</f>
        <v>应收-其他</v>
      </c>
      <c r="R27" t="str">
        <f>_xlfn.XLOOKUP(Jnl[[#This Row],[Vehicle]],config_vehicle[Id], config_vehicle[Name],,0)</f>
        <v>远家花园</v>
      </c>
      <c r="S27" t="str">
        <f>_xlfn.XLOOKUP(Jnl[[#This Row],[Division]],config_div[Id], config_div[Name],,0)</f>
        <v>内控合规</v>
      </c>
      <c r="T27" t="str">
        <f>IF(Jnl[[#This Row],[TrxDate]]&lt;=stmt_BS_date_end, "In", "Out")</f>
        <v>In</v>
      </c>
      <c r="U27" t="str">
        <f>IF(Jnl[[#This Row],[TrxDate]]&lt;debug_date_start, "prior", IF(Jnl[[#This Row],[TrxDate]]&gt;debug_date_end, "post", "curr"))</f>
        <v>prior</v>
      </c>
    </row>
    <row r="28" spans="1:21">
      <c r="A28" s="10" t="s">
        <v>249</v>
      </c>
      <c r="B28" s="6">
        <f>_xlfn.XLOOKUP(Jnl[[#This Row],[TrxId]], Trx[Id], Trx[Date],,0)</f>
        <v>46022</v>
      </c>
      <c r="C28" s="6" t="str">
        <f>_xlfn.XLOOKUP(Jnl[[#This Row],[TrxId]], Trx[Id], Trx[Division],,0)</f>
        <v>Ctrl</v>
      </c>
      <c r="D28" s="6" t="str">
        <f>_xlfn.XLOOKUP(Jnl[[#This Row],[TrxId]], Trx[Id], Trx[Action],,0)</f>
        <v>结转</v>
      </c>
      <c r="E28" s="30" t="s">
        <v>82</v>
      </c>
      <c r="F28" s="10" t="s">
        <v>201</v>
      </c>
      <c r="G28" s="10" t="s">
        <v>143</v>
      </c>
      <c r="H28" s="21">
        <v>66888.95</v>
      </c>
      <c r="I28" s="4" t="b">
        <f>AND(Jnl[[#This Row],[TrxId]]&lt;&gt;"",Jnl[[#This Row],[Acct]]&lt;&gt;"",Jnl[[#This Row],[Item]]&lt;&gt;"",ISNUMBER(Jnl[[#This Row],[Bal]]))</f>
        <v>1</v>
      </c>
      <c r="J28" s="9">
        <f>IF(Jnl[[#This Row],[BSLv0]]="A",1,-1)*Jnl[[#This Row],[Bal]]</f>
        <v>66888.95</v>
      </c>
      <c r="K28" t="str">
        <f>_xlfn.XLOOKUP(Jnl[[#This Row],[Acct]], config_BS[Acct], config_BS[Lv0],,0)</f>
        <v>A</v>
      </c>
      <c r="L28" t="str">
        <f>_xlfn.XLOOKUP(Jnl[[#This Row],[Acct]], config_BS[Acct], config_BS[Lv1],,0)</f>
        <v>Assets</v>
      </c>
      <c r="M28" t="str">
        <f>_xlfn.XLOOKUP(Jnl[[#This Row],[Acct]], config_BS[Acct], config_BS[Lv2],,0)</f>
        <v>Prep-Sub</v>
      </c>
      <c r="N28" t="str">
        <f>_xlfn.XLOOKUP(Jnl[[#This Row],[TrxId]], Trx[Id], Trx[IncNode], ,0)</f>
        <v>Other</v>
      </c>
      <c r="O28" t="str">
        <f>_xlfn.XLOOKUP(Jnl[[#This Row],[IncNode]], config_IS[Node], config_IS[Type],,0)</f>
        <v>Non-Op</v>
      </c>
      <c r="P28" t="str">
        <f>_xlfn.XLOOKUP(Jnl[[#This Row],[BSLv2]], dict[Key], dict[Name],,0)</f>
        <v>2.预付-订阅</v>
      </c>
      <c r="Q28" t="str">
        <f>_xlfn.XLOOKUP(Jnl[[#This Row],[Acct]], dict[Key], dict[Name],,0)</f>
        <v>押金</v>
      </c>
      <c r="R28" t="str">
        <f>_xlfn.XLOOKUP(Jnl[[#This Row],[Vehicle]],config_vehicle[Id], config_vehicle[Name],,0)</f>
        <v>远家花园</v>
      </c>
      <c r="S28" t="str">
        <f>_xlfn.XLOOKUP(Jnl[[#This Row],[Division]],config_div[Id], config_div[Name],,0)</f>
        <v>内控合规</v>
      </c>
      <c r="T28" t="str">
        <f>IF(Jnl[[#This Row],[TrxDate]]&lt;=stmt_BS_date_end, "In", "Out")</f>
        <v>In</v>
      </c>
      <c r="U28" t="str">
        <f>IF(Jnl[[#This Row],[TrxDate]]&lt;debug_date_start, "prior", IF(Jnl[[#This Row],[TrxDate]]&gt;debug_date_end, "post", "curr"))</f>
        <v>prior</v>
      </c>
    </row>
    <row r="29" spans="1:21">
      <c r="A29" s="10" t="s">
        <v>249</v>
      </c>
      <c r="B29" s="6">
        <f>_xlfn.XLOOKUP(Jnl[[#This Row],[TrxId]], Trx[Id], Trx[Date],,0)</f>
        <v>46022</v>
      </c>
      <c r="C29" s="6" t="str">
        <f>_xlfn.XLOOKUP(Jnl[[#This Row],[TrxId]], Trx[Id], Trx[Division],,0)</f>
        <v>Ctrl</v>
      </c>
      <c r="D29" s="6" t="str">
        <f>_xlfn.XLOOKUP(Jnl[[#This Row],[TrxId]], Trx[Id], Trx[Action],,0)</f>
        <v>结转</v>
      </c>
      <c r="E29" s="30" t="s">
        <v>109</v>
      </c>
      <c r="F29" s="10" t="s">
        <v>116</v>
      </c>
      <c r="G29" s="10" t="s">
        <v>142</v>
      </c>
      <c r="H29" s="21">
        <v>4640.3</v>
      </c>
      <c r="I29" s="4" t="b">
        <f>AND(Jnl[[#This Row],[TrxId]]&lt;&gt;"",Jnl[[#This Row],[Acct]]&lt;&gt;"",Jnl[[#This Row],[Item]]&lt;&gt;"",ISNUMBER(Jnl[[#This Row],[Bal]]))</f>
        <v>1</v>
      </c>
      <c r="J29" s="9">
        <f>IF(Jnl[[#This Row],[BSLv0]]="A",1,-1)*Jnl[[#This Row],[Bal]]</f>
        <v>4640.3</v>
      </c>
      <c r="K29" t="str">
        <f>_xlfn.XLOOKUP(Jnl[[#This Row],[Acct]], config_BS[Acct], config_BS[Lv0],,0)</f>
        <v>A</v>
      </c>
      <c r="L29" t="str">
        <f>_xlfn.XLOOKUP(Jnl[[#This Row],[Acct]], config_BS[Acct], config_BS[Lv1],,0)</f>
        <v>Assets</v>
      </c>
      <c r="M29" t="str">
        <f>_xlfn.XLOOKUP(Jnl[[#This Row],[Acct]], config_BS[Acct], config_BS[Lv2],,0)</f>
        <v>Rec-Pay</v>
      </c>
      <c r="N29" t="str">
        <f>_xlfn.XLOOKUP(Jnl[[#This Row],[TrxId]], Trx[Id], Trx[IncNode], ,0)</f>
        <v>Other</v>
      </c>
      <c r="O29" t="str">
        <f>_xlfn.XLOOKUP(Jnl[[#This Row],[IncNode]], config_IS[Node], config_IS[Type],,0)</f>
        <v>Non-Op</v>
      </c>
      <c r="P29" t="str">
        <f>_xlfn.XLOOKUP(Jnl[[#This Row],[BSLv2]], dict[Key], dict[Name],,0)</f>
        <v>1.应收-应付</v>
      </c>
      <c r="Q29" t="str">
        <f>_xlfn.XLOOKUP(Jnl[[#This Row],[Acct]], dict[Key], dict[Name],,0)</f>
        <v>应收-一般</v>
      </c>
      <c r="R29" t="str">
        <f>_xlfn.XLOOKUP(Jnl[[#This Row],[Vehicle]],config_vehicle[Id], config_vehicle[Name],,0)</f>
        <v>远家花园高新分公司</v>
      </c>
      <c r="S29" t="str">
        <f>_xlfn.XLOOKUP(Jnl[[#This Row],[Division]],config_div[Id], config_div[Name],,0)</f>
        <v>内控合规</v>
      </c>
      <c r="T29" t="str">
        <f>IF(Jnl[[#This Row],[TrxDate]]&lt;=stmt_BS_date_end, "In", "Out")</f>
        <v>In</v>
      </c>
      <c r="U29" t="str">
        <f>IF(Jnl[[#This Row],[TrxDate]]&lt;debug_date_start, "prior", IF(Jnl[[#This Row],[TrxDate]]&gt;debug_date_end, "post", "curr"))</f>
        <v>prior</v>
      </c>
    </row>
    <row r="30" spans="1:21">
      <c r="A30" s="10" t="s">
        <v>249</v>
      </c>
      <c r="B30" s="6">
        <f>_xlfn.XLOOKUP(Jnl[[#This Row],[TrxId]], Trx[Id], Trx[Date],,0)</f>
        <v>46022</v>
      </c>
      <c r="C30" s="6" t="str">
        <f>_xlfn.XLOOKUP(Jnl[[#This Row],[TrxId]], Trx[Id], Trx[Division],,0)</f>
        <v>Ctrl</v>
      </c>
      <c r="D30" s="6" t="str">
        <f>_xlfn.XLOOKUP(Jnl[[#This Row],[TrxId]], Trx[Id], Trx[Action],,0)</f>
        <v>结转</v>
      </c>
      <c r="E30" s="30" t="s">
        <v>109</v>
      </c>
      <c r="F30" s="10" t="s">
        <v>208</v>
      </c>
      <c r="G30" s="10" t="s">
        <v>141</v>
      </c>
      <c r="H30" s="21">
        <v>1474.3</v>
      </c>
      <c r="I30" s="4" t="b">
        <f>AND(Jnl[[#This Row],[TrxId]]&lt;&gt;"",Jnl[[#This Row],[Acct]]&lt;&gt;"",Jnl[[#This Row],[Item]]&lt;&gt;"",ISNUMBER(Jnl[[#This Row],[Bal]]))</f>
        <v>1</v>
      </c>
      <c r="J30" s="9">
        <f>IF(Jnl[[#This Row],[BSLv0]]="A",1,-1)*Jnl[[#This Row],[Bal]]</f>
        <v>1474.3</v>
      </c>
      <c r="K30" t="str">
        <f>_xlfn.XLOOKUP(Jnl[[#This Row],[Acct]], config_BS[Acct], config_BS[Lv0],,0)</f>
        <v>A</v>
      </c>
      <c r="L30" t="str">
        <f>_xlfn.XLOOKUP(Jnl[[#This Row],[Acct]], config_BS[Acct], config_BS[Lv1],,0)</f>
        <v>Assets</v>
      </c>
      <c r="M30" t="str">
        <f>_xlfn.XLOOKUP(Jnl[[#This Row],[Acct]], config_BS[Acct], config_BS[Lv2],,0)</f>
        <v>Rec-Pay</v>
      </c>
      <c r="N30" t="str">
        <f>_xlfn.XLOOKUP(Jnl[[#This Row],[TrxId]], Trx[Id], Trx[IncNode], ,0)</f>
        <v>Other</v>
      </c>
      <c r="O30" t="str">
        <f>_xlfn.XLOOKUP(Jnl[[#This Row],[IncNode]], config_IS[Node], config_IS[Type],,0)</f>
        <v>Non-Op</v>
      </c>
      <c r="P30" t="str">
        <f>_xlfn.XLOOKUP(Jnl[[#This Row],[BSLv2]], dict[Key], dict[Name],,0)</f>
        <v>1.应收-应付</v>
      </c>
      <c r="Q30" t="str">
        <f>_xlfn.XLOOKUP(Jnl[[#This Row],[Acct]], dict[Key], dict[Name],,0)</f>
        <v>应收-其他</v>
      </c>
      <c r="R30" t="str">
        <f>_xlfn.XLOOKUP(Jnl[[#This Row],[Vehicle]],config_vehicle[Id], config_vehicle[Name],,0)</f>
        <v>远家花园高新分公司</v>
      </c>
      <c r="S30" t="str">
        <f>_xlfn.XLOOKUP(Jnl[[#This Row],[Division]],config_div[Id], config_div[Name],,0)</f>
        <v>内控合规</v>
      </c>
      <c r="T30" t="str">
        <f>IF(Jnl[[#This Row],[TrxDate]]&lt;=stmt_BS_date_end, "In", "Out")</f>
        <v>In</v>
      </c>
      <c r="U30" t="str">
        <f>IF(Jnl[[#This Row],[TrxDate]]&lt;debug_date_start, "prior", IF(Jnl[[#This Row],[TrxDate]]&gt;debug_date_end, "post", "curr"))</f>
        <v>prior</v>
      </c>
    </row>
    <row r="31" spans="1:21">
      <c r="A31" s="10" t="s">
        <v>249</v>
      </c>
      <c r="B31" s="6">
        <f>_xlfn.XLOOKUP(Jnl[[#This Row],[TrxId]], Trx[Id], Trx[Date],,0)</f>
        <v>46022</v>
      </c>
      <c r="C31" s="6" t="str">
        <f>_xlfn.XLOOKUP(Jnl[[#This Row],[TrxId]], Trx[Id], Trx[Division],,0)</f>
        <v>Ctrl</v>
      </c>
      <c r="D31" s="6" t="str">
        <f>_xlfn.XLOOKUP(Jnl[[#This Row],[TrxId]], Trx[Id], Trx[Action],,0)</f>
        <v>结转</v>
      </c>
      <c r="E31" s="30" t="s">
        <v>114</v>
      </c>
      <c r="F31" s="10" t="s">
        <v>208</v>
      </c>
      <c r="G31" s="10" t="s">
        <v>141</v>
      </c>
      <c r="H31" s="21">
        <v>3340.05</v>
      </c>
      <c r="I31" s="4" t="b">
        <f>AND(Jnl[[#This Row],[TrxId]]&lt;&gt;"",Jnl[[#This Row],[Acct]]&lt;&gt;"",Jnl[[#This Row],[Item]]&lt;&gt;"",ISNUMBER(Jnl[[#This Row],[Bal]]))</f>
        <v>1</v>
      </c>
      <c r="J31" s="9">
        <f>IF(Jnl[[#This Row],[BSLv0]]="A",1,-1)*Jnl[[#This Row],[Bal]]</f>
        <v>3340.05</v>
      </c>
      <c r="K31" t="str">
        <f>_xlfn.XLOOKUP(Jnl[[#This Row],[Acct]], config_BS[Acct], config_BS[Lv0],,0)</f>
        <v>A</v>
      </c>
      <c r="L31" t="str">
        <f>_xlfn.XLOOKUP(Jnl[[#This Row],[Acct]], config_BS[Acct], config_BS[Lv1],,0)</f>
        <v>Assets</v>
      </c>
      <c r="M31" t="str">
        <f>_xlfn.XLOOKUP(Jnl[[#This Row],[Acct]], config_BS[Acct], config_BS[Lv2],,0)</f>
        <v>Rec-Pay</v>
      </c>
      <c r="N31" t="str">
        <f>_xlfn.XLOOKUP(Jnl[[#This Row],[TrxId]], Trx[Id], Trx[IncNode], ,0)</f>
        <v>Other</v>
      </c>
      <c r="O31" t="str">
        <f>_xlfn.XLOOKUP(Jnl[[#This Row],[IncNode]], config_IS[Node], config_IS[Type],,0)</f>
        <v>Non-Op</v>
      </c>
      <c r="P31" t="str">
        <f>_xlfn.XLOOKUP(Jnl[[#This Row],[BSLv2]], dict[Key], dict[Name],,0)</f>
        <v>1.应收-应付</v>
      </c>
      <c r="Q31" t="str">
        <f>_xlfn.XLOOKUP(Jnl[[#This Row],[Acct]], dict[Key], dict[Name],,0)</f>
        <v>应收-其他</v>
      </c>
      <c r="R31" t="str">
        <f>_xlfn.XLOOKUP(Jnl[[#This Row],[Vehicle]],config_vehicle[Id], config_vehicle[Name],,0)</f>
        <v>染匠文化</v>
      </c>
      <c r="S31" t="str">
        <f>_xlfn.XLOOKUP(Jnl[[#This Row],[Division]],config_div[Id], config_div[Name],,0)</f>
        <v>内控合规</v>
      </c>
      <c r="T31" t="str">
        <f>IF(Jnl[[#This Row],[TrxDate]]&lt;=stmt_BS_date_end, "In", "Out")</f>
        <v>In</v>
      </c>
      <c r="U31" t="str">
        <f>IF(Jnl[[#This Row],[TrxDate]]&lt;debug_date_start, "prior", IF(Jnl[[#This Row],[TrxDate]]&gt;debug_date_end, "post", "curr"))</f>
        <v>prior</v>
      </c>
    </row>
    <row r="32" spans="1:21">
      <c r="A32" s="10" t="s">
        <v>249</v>
      </c>
      <c r="B32" s="6">
        <f>_xlfn.XLOOKUP(Jnl[[#This Row],[TrxId]], Trx[Id], Trx[Date],,0)</f>
        <v>46022</v>
      </c>
      <c r="C32" s="6" t="str">
        <f>_xlfn.XLOOKUP(Jnl[[#This Row],[TrxId]], Trx[Id], Trx[Division],,0)</f>
        <v>Ctrl</v>
      </c>
      <c r="D32" s="6" t="str">
        <f>_xlfn.XLOOKUP(Jnl[[#This Row],[TrxId]], Trx[Id], Trx[Action],,0)</f>
        <v>结转</v>
      </c>
      <c r="E32" s="30" t="s">
        <v>86</v>
      </c>
      <c r="F32" s="10" t="s">
        <v>208</v>
      </c>
      <c r="G32" s="10" t="s">
        <v>141</v>
      </c>
      <c r="H32" s="21">
        <v>14294.35</v>
      </c>
      <c r="I32" s="4" t="b">
        <f>AND(Jnl[[#This Row],[TrxId]]&lt;&gt;"",Jnl[[#This Row],[Acct]]&lt;&gt;"",Jnl[[#This Row],[Item]]&lt;&gt;"",ISNUMBER(Jnl[[#This Row],[Bal]]))</f>
        <v>1</v>
      </c>
      <c r="J32" s="9">
        <f>IF(Jnl[[#This Row],[BSLv0]]="A",1,-1)*Jnl[[#This Row],[Bal]]</f>
        <v>14294.35</v>
      </c>
      <c r="K32" t="str">
        <f>_xlfn.XLOOKUP(Jnl[[#This Row],[Acct]], config_BS[Acct], config_BS[Lv0],,0)</f>
        <v>A</v>
      </c>
      <c r="L32" t="str">
        <f>_xlfn.XLOOKUP(Jnl[[#This Row],[Acct]], config_BS[Acct], config_BS[Lv1],,0)</f>
        <v>Assets</v>
      </c>
      <c r="M32" t="str">
        <f>_xlfn.XLOOKUP(Jnl[[#This Row],[Acct]], config_BS[Acct], config_BS[Lv2],,0)</f>
        <v>Rec-Pay</v>
      </c>
      <c r="N32" t="str">
        <f>_xlfn.XLOOKUP(Jnl[[#This Row],[TrxId]], Trx[Id], Trx[IncNode], ,0)</f>
        <v>Other</v>
      </c>
      <c r="O32" t="str">
        <f>_xlfn.XLOOKUP(Jnl[[#This Row],[IncNode]], config_IS[Node], config_IS[Type],,0)</f>
        <v>Non-Op</v>
      </c>
      <c r="P32" t="str">
        <f>_xlfn.XLOOKUP(Jnl[[#This Row],[BSLv2]], dict[Key], dict[Name],,0)</f>
        <v>1.应收-应付</v>
      </c>
      <c r="Q32" t="str">
        <f>_xlfn.XLOOKUP(Jnl[[#This Row],[Acct]], dict[Key], dict[Name],,0)</f>
        <v>应收-其他</v>
      </c>
      <c r="R32" t="str">
        <f>_xlfn.XLOOKUP(Jnl[[#This Row],[Vehicle]],config_vehicle[Id], config_vehicle[Name],,0)</f>
        <v>榆乐</v>
      </c>
      <c r="S32" t="str">
        <f>_xlfn.XLOOKUP(Jnl[[#This Row],[Division]],config_div[Id], config_div[Name],,0)</f>
        <v>内控合规</v>
      </c>
      <c r="T32" t="str">
        <f>IF(Jnl[[#This Row],[TrxDate]]&lt;=stmt_BS_date_end, "In", "Out")</f>
        <v>In</v>
      </c>
      <c r="U32" t="str">
        <f>IF(Jnl[[#This Row],[TrxDate]]&lt;debug_date_start, "prior", IF(Jnl[[#This Row],[TrxDate]]&gt;debug_date_end, "post", "curr"))</f>
        <v>prior</v>
      </c>
    </row>
    <row r="33" spans="1:21">
      <c r="A33" s="10" t="s">
        <v>249</v>
      </c>
      <c r="B33" s="6">
        <f>_xlfn.XLOOKUP(Jnl[[#This Row],[TrxId]], Trx[Id], Trx[Date],,0)</f>
        <v>46022</v>
      </c>
      <c r="C33" s="6" t="str">
        <f>_xlfn.XLOOKUP(Jnl[[#This Row],[TrxId]], Trx[Id], Trx[Division],,0)</f>
        <v>Ctrl</v>
      </c>
      <c r="D33" s="6" t="str">
        <f>_xlfn.XLOOKUP(Jnl[[#This Row],[TrxId]], Trx[Id], Trx[Action],,0)</f>
        <v>结转</v>
      </c>
      <c r="E33" s="30" t="s">
        <v>87</v>
      </c>
      <c r="F33" s="10" t="s">
        <v>208</v>
      </c>
      <c r="G33" s="10" t="s">
        <v>141</v>
      </c>
      <c r="H33" s="21">
        <v>1431.45</v>
      </c>
      <c r="I33" s="4" t="b">
        <f>AND(Jnl[[#This Row],[TrxId]]&lt;&gt;"",Jnl[[#This Row],[Acct]]&lt;&gt;"",Jnl[[#This Row],[Item]]&lt;&gt;"",ISNUMBER(Jnl[[#This Row],[Bal]]))</f>
        <v>1</v>
      </c>
      <c r="J33" s="9">
        <f>IF(Jnl[[#This Row],[BSLv0]]="A",1,-1)*Jnl[[#This Row],[Bal]]</f>
        <v>1431.45</v>
      </c>
      <c r="K33" t="str">
        <f>_xlfn.XLOOKUP(Jnl[[#This Row],[Acct]], config_BS[Acct], config_BS[Lv0],,0)</f>
        <v>A</v>
      </c>
      <c r="L33" t="str">
        <f>_xlfn.XLOOKUP(Jnl[[#This Row],[Acct]], config_BS[Acct], config_BS[Lv1],,0)</f>
        <v>Assets</v>
      </c>
      <c r="M33" t="str">
        <f>_xlfn.XLOOKUP(Jnl[[#This Row],[Acct]], config_BS[Acct], config_BS[Lv2],,0)</f>
        <v>Rec-Pay</v>
      </c>
      <c r="N33" t="str">
        <f>_xlfn.XLOOKUP(Jnl[[#This Row],[TrxId]], Trx[Id], Trx[IncNode], ,0)</f>
        <v>Other</v>
      </c>
      <c r="O33" t="str">
        <f>_xlfn.XLOOKUP(Jnl[[#This Row],[IncNode]], config_IS[Node], config_IS[Type],,0)</f>
        <v>Non-Op</v>
      </c>
      <c r="P33" t="str">
        <f>_xlfn.XLOOKUP(Jnl[[#This Row],[BSLv2]], dict[Key], dict[Name],,0)</f>
        <v>1.应收-应付</v>
      </c>
      <c r="Q33" t="str">
        <f>_xlfn.XLOOKUP(Jnl[[#This Row],[Acct]], dict[Key], dict[Name],,0)</f>
        <v>应收-其他</v>
      </c>
      <c r="R33" t="str">
        <f>_xlfn.XLOOKUP(Jnl[[#This Row],[Vehicle]],config_vehicle[Id], config_vehicle[Name],,0)</f>
        <v>桑木</v>
      </c>
      <c r="S33" t="str">
        <f>_xlfn.XLOOKUP(Jnl[[#This Row],[Division]],config_div[Id], config_div[Name],,0)</f>
        <v>内控合规</v>
      </c>
      <c r="T33" t="str">
        <f>IF(Jnl[[#This Row],[TrxDate]]&lt;=stmt_BS_date_end, "In", "Out")</f>
        <v>In</v>
      </c>
      <c r="U33" t="str">
        <f>IF(Jnl[[#This Row],[TrxDate]]&lt;debug_date_start, "prior", IF(Jnl[[#This Row],[TrxDate]]&gt;debug_date_end, "post", "curr"))</f>
        <v>prior</v>
      </c>
    </row>
    <row r="34" spans="1:21">
      <c r="A34" s="10" t="s">
        <v>249</v>
      </c>
      <c r="B34" s="6">
        <f>_xlfn.XLOOKUP(Jnl[[#This Row],[TrxId]], Trx[Id], Trx[Date],,0)</f>
        <v>46022</v>
      </c>
      <c r="C34" s="6" t="str">
        <f>_xlfn.XLOOKUP(Jnl[[#This Row],[TrxId]], Trx[Id], Trx[Division],,0)</f>
        <v>Ctrl</v>
      </c>
      <c r="D34" s="6" t="str">
        <f>_xlfn.XLOOKUP(Jnl[[#This Row],[TrxId]], Trx[Id], Trx[Action],,0)</f>
        <v>结转</v>
      </c>
      <c r="E34" s="30" t="s">
        <v>84</v>
      </c>
      <c r="F34" s="10" t="s">
        <v>208</v>
      </c>
      <c r="G34" s="10" t="s">
        <v>141</v>
      </c>
      <c r="H34" s="21">
        <v>11451.6</v>
      </c>
      <c r="I34" s="4" t="b">
        <f>AND(Jnl[[#This Row],[TrxId]]&lt;&gt;"",Jnl[[#This Row],[Acct]]&lt;&gt;"",Jnl[[#This Row],[Item]]&lt;&gt;"",ISNUMBER(Jnl[[#This Row],[Bal]]))</f>
        <v>1</v>
      </c>
      <c r="J34" s="9">
        <f>IF(Jnl[[#This Row],[BSLv0]]="A",1,-1)*Jnl[[#This Row],[Bal]]</f>
        <v>11451.6</v>
      </c>
      <c r="K34" t="str">
        <f>_xlfn.XLOOKUP(Jnl[[#This Row],[Acct]], config_BS[Acct], config_BS[Lv0],,0)</f>
        <v>A</v>
      </c>
      <c r="L34" t="str">
        <f>_xlfn.XLOOKUP(Jnl[[#This Row],[Acct]], config_BS[Acct], config_BS[Lv1],,0)</f>
        <v>Assets</v>
      </c>
      <c r="M34" t="str">
        <f>_xlfn.XLOOKUP(Jnl[[#This Row],[Acct]], config_BS[Acct], config_BS[Lv2],,0)</f>
        <v>Rec-Pay</v>
      </c>
      <c r="N34" t="str">
        <f>_xlfn.XLOOKUP(Jnl[[#This Row],[TrxId]], Trx[Id], Trx[IncNode], ,0)</f>
        <v>Other</v>
      </c>
      <c r="O34" t="str">
        <f>_xlfn.XLOOKUP(Jnl[[#This Row],[IncNode]], config_IS[Node], config_IS[Type],,0)</f>
        <v>Non-Op</v>
      </c>
      <c r="P34" t="str">
        <f>_xlfn.XLOOKUP(Jnl[[#This Row],[BSLv2]], dict[Key], dict[Name],,0)</f>
        <v>1.应收-应付</v>
      </c>
      <c r="Q34" t="str">
        <f>_xlfn.XLOOKUP(Jnl[[#This Row],[Acct]], dict[Key], dict[Name],,0)</f>
        <v>应收-其他</v>
      </c>
      <c r="R34" t="str">
        <f>_xlfn.XLOOKUP(Jnl[[#This Row],[Vehicle]],config_vehicle[Id], config_vehicle[Name],,0)</f>
        <v>米小易</v>
      </c>
      <c r="S34" t="str">
        <f>_xlfn.XLOOKUP(Jnl[[#This Row],[Division]],config_div[Id], config_div[Name],,0)</f>
        <v>内控合规</v>
      </c>
      <c r="T34" t="str">
        <f>IF(Jnl[[#This Row],[TrxDate]]&lt;=stmt_BS_date_end, "In", "Out")</f>
        <v>In</v>
      </c>
      <c r="U34" t="str">
        <f>IF(Jnl[[#This Row],[TrxDate]]&lt;debug_date_start, "prior", IF(Jnl[[#This Row],[TrxDate]]&gt;debug_date_end, "post", "curr"))</f>
        <v>prior</v>
      </c>
    </row>
    <row r="35" spans="1:21">
      <c r="A35" s="10" t="s">
        <v>249</v>
      </c>
      <c r="B35" s="6">
        <f>_xlfn.XLOOKUP(Jnl[[#This Row],[TrxId]], Trx[Id], Trx[Date],,0)</f>
        <v>46022</v>
      </c>
      <c r="C35" s="6" t="str">
        <f>_xlfn.XLOOKUP(Jnl[[#This Row],[TrxId]], Trx[Id], Trx[Division],,0)</f>
        <v>Ctrl</v>
      </c>
      <c r="D35" s="6" t="str">
        <f>_xlfn.XLOOKUP(Jnl[[#This Row],[TrxId]], Trx[Id], Trx[Action],,0)</f>
        <v>结转</v>
      </c>
      <c r="E35" s="30" t="s">
        <v>84</v>
      </c>
      <c r="F35" s="10" t="s">
        <v>201</v>
      </c>
      <c r="G35" s="10" t="s">
        <v>143</v>
      </c>
      <c r="H35" s="21">
        <v>4000</v>
      </c>
      <c r="I35" s="4" t="b">
        <f>AND(Jnl[[#This Row],[TrxId]]&lt;&gt;"",Jnl[[#This Row],[Acct]]&lt;&gt;"",Jnl[[#This Row],[Item]]&lt;&gt;"",ISNUMBER(Jnl[[#This Row],[Bal]]))</f>
        <v>1</v>
      </c>
      <c r="J35" s="9">
        <f>IF(Jnl[[#This Row],[BSLv0]]="A",1,-1)*Jnl[[#This Row],[Bal]]</f>
        <v>4000</v>
      </c>
      <c r="K35" t="str">
        <f>_xlfn.XLOOKUP(Jnl[[#This Row],[Acct]], config_BS[Acct], config_BS[Lv0],,0)</f>
        <v>A</v>
      </c>
      <c r="L35" t="str">
        <f>_xlfn.XLOOKUP(Jnl[[#This Row],[Acct]], config_BS[Acct], config_BS[Lv1],,0)</f>
        <v>Assets</v>
      </c>
      <c r="M35" t="str">
        <f>_xlfn.XLOOKUP(Jnl[[#This Row],[Acct]], config_BS[Acct], config_BS[Lv2],,0)</f>
        <v>Prep-Sub</v>
      </c>
      <c r="N35" t="str">
        <f>_xlfn.XLOOKUP(Jnl[[#This Row],[TrxId]], Trx[Id], Trx[IncNode], ,0)</f>
        <v>Other</v>
      </c>
      <c r="O35" t="str">
        <f>_xlfn.XLOOKUP(Jnl[[#This Row],[IncNode]], config_IS[Node], config_IS[Type],,0)</f>
        <v>Non-Op</v>
      </c>
      <c r="P35" t="str">
        <f>_xlfn.XLOOKUP(Jnl[[#This Row],[BSLv2]], dict[Key], dict[Name],,0)</f>
        <v>2.预付-订阅</v>
      </c>
      <c r="Q35" t="str">
        <f>_xlfn.XLOOKUP(Jnl[[#This Row],[Acct]], dict[Key], dict[Name],,0)</f>
        <v>押金</v>
      </c>
      <c r="R35" t="str">
        <f>_xlfn.XLOOKUP(Jnl[[#This Row],[Vehicle]],config_vehicle[Id], config_vehicle[Name],,0)</f>
        <v>米小易</v>
      </c>
      <c r="S35" t="str">
        <f>_xlfn.XLOOKUP(Jnl[[#This Row],[Division]],config_div[Id], config_div[Name],,0)</f>
        <v>内控合规</v>
      </c>
      <c r="T35" t="str">
        <f>IF(Jnl[[#This Row],[TrxDate]]&lt;=stmt_BS_date_end, "In", "Out")</f>
        <v>In</v>
      </c>
      <c r="U35" t="str">
        <f>IF(Jnl[[#This Row],[TrxDate]]&lt;debug_date_start, "prior", IF(Jnl[[#This Row],[TrxDate]]&gt;debug_date_end, "post", "curr"))</f>
        <v>prior</v>
      </c>
    </row>
    <row r="36" spans="1:21">
      <c r="A36" s="10" t="s">
        <v>249</v>
      </c>
      <c r="B36" s="6">
        <f>_xlfn.XLOOKUP(Jnl[[#This Row],[TrxId]], Trx[Id], Trx[Date],,0)</f>
        <v>46022</v>
      </c>
      <c r="C36" s="6" t="str">
        <f>_xlfn.XLOOKUP(Jnl[[#This Row],[TrxId]], Trx[Id], Trx[Division],,0)</f>
        <v>Ctrl</v>
      </c>
      <c r="D36" s="6" t="str">
        <f>_xlfn.XLOOKUP(Jnl[[#This Row],[TrxId]], Trx[Id], Trx[Action],,0)</f>
        <v>结转</v>
      </c>
      <c r="E36" s="30" t="s">
        <v>84</v>
      </c>
      <c r="F36" s="10" t="s">
        <v>116</v>
      </c>
      <c r="G36" s="10" t="s">
        <v>142</v>
      </c>
      <c r="H36" s="21">
        <v>12892.74</v>
      </c>
      <c r="I36" s="4" t="b">
        <f>AND(Jnl[[#This Row],[TrxId]]&lt;&gt;"",Jnl[[#This Row],[Acct]]&lt;&gt;"",Jnl[[#This Row],[Item]]&lt;&gt;"",ISNUMBER(Jnl[[#This Row],[Bal]]))</f>
        <v>1</v>
      </c>
      <c r="J36" s="9">
        <f>IF(Jnl[[#This Row],[BSLv0]]="A",1,-1)*Jnl[[#This Row],[Bal]]</f>
        <v>12892.74</v>
      </c>
      <c r="K36" t="str">
        <f>_xlfn.XLOOKUP(Jnl[[#This Row],[Acct]], config_BS[Acct], config_BS[Lv0],,0)</f>
        <v>A</v>
      </c>
      <c r="L36" t="str">
        <f>_xlfn.XLOOKUP(Jnl[[#This Row],[Acct]], config_BS[Acct], config_BS[Lv1],,0)</f>
        <v>Assets</v>
      </c>
      <c r="M36" t="str">
        <f>_xlfn.XLOOKUP(Jnl[[#This Row],[Acct]], config_BS[Acct], config_BS[Lv2],,0)</f>
        <v>Rec-Pay</v>
      </c>
      <c r="N36" t="str">
        <f>_xlfn.XLOOKUP(Jnl[[#This Row],[TrxId]], Trx[Id], Trx[IncNode], ,0)</f>
        <v>Other</v>
      </c>
      <c r="O36" t="str">
        <f>_xlfn.XLOOKUP(Jnl[[#This Row],[IncNode]], config_IS[Node], config_IS[Type],,0)</f>
        <v>Non-Op</v>
      </c>
      <c r="P36" t="str">
        <f>_xlfn.XLOOKUP(Jnl[[#This Row],[BSLv2]], dict[Key], dict[Name],,0)</f>
        <v>1.应收-应付</v>
      </c>
      <c r="Q36" t="str">
        <f>_xlfn.XLOOKUP(Jnl[[#This Row],[Acct]], dict[Key], dict[Name],,0)</f>
        <v>应收-一般</v>
      </c>
      <c r="R36" t="str">
        <f>_xlfn.XLOOKUP(Jnl[[#This Row],[Vehicle]],config_vehicle[Id], config_vehicle[Name],,0)</f>
        <v>米小易</v>
      </c>
      <c r="S36" t="str">
        <f>_xlfn.XLOOKUP(Jnl[[#This Row],[Division]],config_div[Id], config_div[Name],,0)</f>
        <v>内控合规</v>
      </c>
      <c r="T36" t="str">
        <f>IF(Jnl[[#This Row],[TrxDate]]&lt;=stmt_BS_date_end, "In", "Out")</f>
        <v>In</v>
      </c>
      <c r="U36" t="str">
        <f>IF(Jnl[[#This Row],[TrxDate]]&lt;debug_date_start, "prior", IF(Jnl[[#This Row],[TrxDate]]&gt;debug_date_end, "post", "curr"))</f>
        <v>prior</v>
      </c>
    </row>
    <row r="37" spans="1:21">
      <c r="A37" s="10" t="s">
        <v>249</v>
      </c>
      <c r="B37" s="6">
        <f>_xlfn.XLOOKUP(Jnl[[#This Row],[TrxId]], Trx[Id], Trx[Date],,0)</f>
        <v>46022</v>
      </c>
      <c r="C37" s="6" t="str">
        <f>_xlfn.XLOOKUP(Jnl[[#This Row],[TrxId]], Trx[Id], Trx[Division],,0)</f>
        <v>Ctrl</v>
      </c>
      <c r="D37" s="6" t="str">
        <f>_xlfn.XLOOKUP(Jnl[[#This Row],[TrxId]], Trx[Id], Trx[Action],,0)</f>
        <v>结转</v>
      </c>
      <c r="E37" s="30" t="s">
        <v>84</v>
      </c>
      <c r="F37" s="10" t="s">
        <v>198</v>
      </c>
      <c r="G37" s="10" t="s">
        <v>199</v>
      </c>
      <c r="H37" s="21">
        <v>30000</v>
      </c>
      <c r="I37" s="4" t="b">
        <f>AND(Jnl[[#This Row],[TrxId]]&lt;&gt;"",Jnl[[#This Row],[Acct]]&lt;&gt;"",Jnl[[#This Row],[Item]]&lt;&gt;"",ISNUMBER(Jnl[[#This Row],[Bal]]))</f>
        <v>1</v>
      </c>
      <c r="J37" s="9">
        <f>IF(Jnl[[#This Row],[BSLv0]]="A",1,-1)*Jnl[[#This Row],[Bal]]</f>
        <v>30000</v>
      </c>
      <c r="K37" t="str">
        <f>_xlfn.XLOOKUP(Jnl[[#This Row],[Acct]], config_BS[Acct], config_BS[Lv0],,0)</f>
        <v>A</v>
      </c>
      <c r="L37" t="str">
        <f>_xlfn.XLOOKUP(Jnl[[#This Row],[Acct]], config_BS[Acct], config_BS[Lv1],,0)</f>
        <v>Assets</v>
      </c>
      <c r="M37" t="str">
        <f>_xlfn.XLOOKUP(Jnl[[#This Row],[Acct]], config_BS[Acct], config_BS[Lv2],,0)</f>
        <v>Prep-Sub</v>
      </c>
      <c r="N37" t="str">
        <f>_xlfn.XLOOKUP(Jnl[[#This Row],[TrxId]], Trx[Id], Trx[IncNode], ,0)</f>
        <v>Other</v>
      </c>
      <c r="O37" t="str">
        <f>_xlfn.XLOOKUP(Jnl[[#This Row],[IncNode]], config_IS[Node], config_IS[Type],,0)</f>
        <v>Non-Op</v>
      </c>
      <c r="P37" t="str">
        <f>_xlfn.XLOOKUP(Jnl[[#This Row],[BSLv2]], dict[Key], dict[Name],,0)</f>
        <v>2.预付-订阅</v>
      </c>
      <c r="Q37" t="str">
        <f>_xlfn.XLOOKUP(Jnl[[#This Row],[Acct]], dict[Key], dict[Name],,0)</f>
        <v>员工预支</v>
      </c>
      <c r="R37" t="str">
        <f>_xlfn.XLOOKUP(Jnl[[#This Row],[Vehicle]],config_vehicle[Id], config_vehicle[Name],,0)</f>
        <v>米小易</v>
      </c>
      <c r="S37" t="str">
        <f>_xlfn.XLOOKUP(Jnl[[#This Row],[Division]],config_div[Id], config_div[Name],,0)</f>
        <v>内控合规</v>
      </c>
      <c r="T37" t="str">
        <f>IF(Jnl[[#This Row],[TrxDate]]&lt;=stmt_BS_date_end, "In", "Out")</f>
        <v>In</v>
      </c>
      <c r="U37" t="str">
        <f>IF(Jnl[[#This Row],[TrxDate]]&lt;debug_date_start, "prior", IF(Jnl[[#This Row],[TrxDate]]&gt;debug_date_end, "post", "curr"))</f>
        <v>prior</v>
      </c>
    </row>
    <row r="38" spans="1:21">
      <c r="A38" s="10" t="s">
        <v>249</v>
      </c>
      <c r="B38" s="6">
        <f>_xlfn.XLOOKUP(Jnl[[#This Row],[TrxId]], Trx[Id], Trx[Date],,0)</f>
        <v>46022</v>
      </c>
      <c r="C38" s="6" t="str">
        <f>_xlfn.XLOOKUP(Jnl[[#This Row],[TrxId]], Trx[Id], Trx[Division],,0)</f>
        <v>Ctrl</v>
      </c>
      <c r="D38" s="6" t="str">
        <f>_xlfn.XLOOKUP(Jnl[[#This Row],[TrxId]], Trx[Id], Trx[Action],,0)</f>
        <v>结转</v>
      </c>
      <c r="E38" s="30" t="s">
        <v>85</v>
      </c>
      <c r="F38" s="10" t="s">
        <v>116</v>
      </c>
      <c r="G38" s="10" t="s">
        <v>142</v>
      </c>
      <c r="H38" s="21">
        <v>240013.22999999998</v>
      </c>
      <c r="I38" s="4" t="b">
        <f>AND(Jnl[[#This Row],[TrxId]]&lt;&gt;"",Jnl[[#This Row],[Acct]]&lt;&gt;"",Jnl[[#This Row],[Item]]&lt;&gt;"",ISNUMBER(Jnl[[#This Row],[Bal]]))</f>
        <v>1</v>
      </c>
      <c r="J38" s="9">
        <f>IF(Jnl[[#This Row],[BSLv0]]="A",1,-1)*Jnl[[#This Row],[Bal]]</f>
        <v>240013.22999999998</v>
      </c>
      <c r="K38" t="str">
        <f>_xlfn.XLOOKUP(Jnl[[#This Row],[Acct]], config_BS[Acct], config_BS[Lv0],,0)</f>
        <v>A</v>
      </c>
      <c r="L38" t="str">
        <f>_xlfn.XLOOKUP(Jnl[[#This Row],[Acct]], config_BS[Acct], config_BS[Lv1],,0)</f>
        <v>Assets</v>
      </c>
      <c r="M38" t="str">
        <f>_xlfn.XLOOKUP(Jnl[[#This Row],[Acct]], config_BS[Acct], config_BS[Lv2],,0)</f>
        <v>Rec-Pay</v>
      </c>
      <c r="N38" t="str">
        <f>_xlfn.XLOOKUP(Jnl[[#This Row],[TrxId]], Trx[Id], Trx[IncNode], ,0)</f>
        <v>Other</v>
      </c>
      <c r="O38" t="str">
        <f>_xlfn.XLOOKUP(Jnl[[#This Row],[IncNode]], config_IS[Node], config_IS[Type],,0)</f>
        <v>Non-Op</v>
      </c>
      <c r="P38" t="str">
        <f>_xlfn.XLOOKUP(Jnl[[#This Row],[BSLv2]], dict[Key], dict[Name],,0)</f>
        <v>1.应收-应付</v>
      </c>
      <c r="Q38" t="str">
        <f>_xlfn.XLOOKUP(Jnl[[#This Row],[Acct]], dict[Key], dict[Name],,0)</f>
        <v>应收-一般</v>
      </c>
      <c r="R38" t="str">
        <f>_xlfn.XLOOKUP(Jnl[[#This Row],[Vehicle]],config_vehicle[Id], config_vehicle[Name],,0)</f>
        <v>远家文化</v>
      </c>
      <c r="S38" t="str">
        <f>_xlfn.XLOOKUP(Jnl[[#This Row],[Division]],config_div[Id], config_div[Name],,0)</f>
        <v>内控合规</v>
      </c>
      <c r="T38" t="str">
        <f>IF(Jnl[[#This Row],[TrxDate]]&lt;=stmt_BS_date_end, "In", "Out")</f>
        <v>In</v>
      </c>
      <c r="U38" t="str">
        <f>IF(Jnl[[#This Row],[TrxDate]]&lt;debug_date_start, "prior", IF(Jnl[[#This Row],[TrxDate]]&gt;debug_date_end, "post", "curr"))</f>
        <v>prior</v>
      </c>
    </row>
    <row r="39" spans="1:21">
      <c r="A39" s="10" t="s">
        <v>249</v>
      </c>
      <c r="B39" s="6">
        <f>_xlfn.XLOOKUP(Jnl[[#This Row],[TrxId]], Trx[Id], Trx[Date],,0)</f>
        <v>46022</v>
      </c>
      <c r="C39" s="6" t="str">
        <f>_xlfn.XLOOKUP(Jnl[[#This Row],[TrxId]], Trx[Id], Trx[Division],,0)</f>
        <v>Ctrl</v>
      </c>
      <c r="D39" s="6" t="str">
        <f>_xlfn.XLOOKUP(Jnl[[#This Row],[TrxId]], Trx[Id], Trx[Action],,0)</f>
        <v>结转</v>
      </c>
      <c r="E39" s="30" t="s">
        <v>85</v>
      </c>
      <c r="F39" s="10" t="s">
        <v>116</v>
      </c>
      <c r="G39" s="10" t="s">
        <v>144</v>
      </c>
      <c r="H39" s="21">
        <v>150000</v>
      </c>
      <c r="I39" s="4" t="b">
        <f>AND(Jnl[[#This Row],[TrxId]]&lt;&gt;"",Jnl[[#This Row],[Acct]]&lt;&gt;"",Jnl[[#This Row],[Item]]&lt;&gt;"",ISNUMBER(Jnl[[#This Row],[Bal]]))</f>
        <v>1</v>
      </c>
      <c r="J39" s="9">
        <f>IF(Jnl[[#This Row],[BSLv0]]="A",1,-1)*Jnl[[#This Row],[Bal]]</f>
        <v>150000</v>
      </c>
      <c r="K39" t="str">
        <f>_xlfn.XLOOKUP(Jnl[[#This Row],[Acct]], config_BS[Acct], config_BS[Lv0],,0)</f>
        <v>A</v>
      </c>
      <c r="L39" t="str">
        <f>_xlfn.XLOOKUP(Jnl[[#This Row],[Acct]], config_BS[Acct], config_BS[Lv1],,0)</f>
        <v>Assets</v>
      </c>
      <c r="M39" t="str">
        <f>_xlfn.XLOOKUP(Jnl[[#This Row],[Acct]], config_BS[Acct], config_BS[Lv2],,0)</f>
        <v>Rec-Pay</v>
      </c>
      <c r="N39" t="str">
        <f>_xlfn.XLOOKUP(Jnl[[#This Row],[TrxId]], Trx[Id], Trx[IncNode], ,0)</f>
        <v>Other</v>
      </c>
      <c r="O39" t="str">
        <f>_xlfn.XLOOKUP(Jnl[[#This Row],[IncNode]], config_IS[Node], config_IS[Type],,0)</f>
        <v>Non-Op</v>
      </c>
      <c r="P39" t="str">
        <f>_xlfn.XLOOKUP(Jnl[[#This Row],[BSLv2]], dict[Key], dict[Name],,0)</f>
        <v>1.应收-应付</v>
      </c>
      <c r="Q39" t="str">
        <f>_xlfn.XLOOKUP(Jnl[[#This Row],[Acct]], dict[Key], dict[Name],,0)</f>
        <v>应收-一般</v>
      </c>
      <c r="R39" t="str">
        <f>_xlfn.XLOOKUP(Jnl[[#This Row],[Vehicle]],config_vehicle[Id], config_vehicle[Name],,0)</f>
        <v>远家文化</v>
      </c>
      <c r="S39" t="str">
        <f>_xlfn.XLOOKUP(Jnl[[#This Row],[Division]],config_div[Id], config_div[Name],,0)</f>
        <v>内控合规</v>
      </c>
      <c r="T39" t="str">
        <f>IF(Jnl[[#This Row],[TrxDate]]&lt;=stmt_BS_date_end, "In", "Out")</f>
        <v>In</v>
      </c>
      <c r="U39" t="str">
        <f>IF(Jnl[[#This Row],[TrxDate]]&lt;debug_date_start, "prior", IF(Jnl[[#This Row],[TrxDate]]&gt;debug_date_end, "post", "curr"))</f>
        <v>prior</v>
      </c>
    </row>
    <row r="40" spans="1:21">
      <c r="A40" s="10" t="s">
        <v>249</v>
      </c>
      <c r="B40" s="6">
        <f>_xlfn.XLOOKUP(Jnl[[#This Row],[TrxId]], Trx[Id], Trx[Date],,0)</f>
        <v>46022</v>
      </c>
      <c r="C40" s="6" t="str">
        <f>_xlfn.XLOOKUP(Jnl[[#This Row],[TrxId]], Trx[Id], Trx[Division],,0)</f>
        <v>Ctrl</v>
      </c>
      <c r="D40" s="6" t="str">
        <f>_xlfn.XLOOKUP(Jnl[[#This Row],[TrxId]], Trx[Id], Trx[Action],,0)</f>
        <v>结转</v>
      </c>
      <c r="E40" s="30" t="s">
        <v>85</v>
      </c>
      <c r="F40" s="10" t="s">
        <v>201</v>
      </c>
      <c r="G40" s="10" t="s">
        <v>143</v>
      </c>
      <c r="H40" s="21">
        <v>38389.65</v>
      </c>
      <c r="I40" s="4" t="b">
        <f>AND(Jnl[[#This Row],[TrxId]]&lt;&gt;"",Jnl[[#This Row],[Acct]]&lt;&gt;"",Jnl[[#This Row],[Item]]&lt;&gt;"",ISNUMBER(Jnl[[#This Row],[Bal]]))</f>
        <v>1</v>
      </c>
      <c r="J40" s="9">
        <f>IF(Jnl[[#This Row],[BSLv0]]="A",1,-1)*Jnl[[#This Row],[Bal]]</f>
        <v>38389.65</v>
      </c>
      <c r="K40" t="str">
        <f>_xlfn.XLOOKUP(Jnl[[#This Row],[Acct]], config_BS[Acct], config_BS[Lv0],,0)</f>
        <v>A</v>
      </c>
      <c r="L40" t="str">
        <f>_xlfn.XLOOKUP(Jnl[[#This Row],[Acct]], config_BS[Acct], config_BS[Lv1],,0)</f>
        <v>Assets</v>
      </c>
      <c r="M40" t="str">
        <f>_xlfn.XLOOKUP(Jnl[[#This Row],[Acct]], config_BS[Acct], config_BS[Lv2],,0)</f>
        <v>Prep-Sub</v>
      </c>
      <c r="N40" t="str">
        <f>_xlfn.XLOOKUP(Jnl[[#This Row],[TrxId]], Trx[Id], Trx[IncNode], ,0)</f>
        <v>Other</v>
      </c>
      <c r="O40" t="str">
        <f>_xlfn.XLOOKUP(Jnl[[#This Row],[IncNode]], config_IS[Node], config_IS[Type],,0)</f>
        <v>Non-Op</v>
      </c>
      <c r="P40" t="str">
        <f>_xlfn.XLOOKUP(Jnl[[#This Row],[BSLv2]], dict[Key], dict[Name],,0)</f>
        <v>2.预付-订阅</v>
      </c>
      <c r="Q40" t="str">
        <f>_xlfn.XLOOKUP(Jnl[[#This Row],[Acct]], dict[Key], dict[Name],,0)</f>
        <v>押金</v>
      </c>
      <c r="R40" t="str">
        <f>_xlfn.XLOOKUP(Jnl[[#This Row],[Vehicle]],config_vehicle[Id], config_vehicle[Name],,0)</f>
        <v>远家文化</v>
      </c>
      <c r="S40" t="str">
        <f>_xlfn.XLOOKUP(Jnl[[#This Row],[Division]],config_div[Id], config_div[Name],,0)</f>
        <v>内控合规</v>
      </c>
      <c r="T40" t="str">
        <f>IF(Jnl[[#This Row],[TrxDate]]&lt;=stmt_BS_date_end, "In", "Out")</f>
        <v>In</v>
      </c>
      <c r="U40" t="str">
        <f>IF(Jnl[[#This Row],[TrxDate]]&lt;debug_date_start, "prior", IF(Jnl[[#This Row],[TrxDate]]&gt;debug_date_end, "post", "curr"))</f>
        <v>prior</v>
      </c>
    </row>
    <row r="41" spans="1:21">
      <c r="A41" s="10" t="s">
        <v>249</v>
      </c>
      <c r="B41" s="6">
        <f>_xlfn.XLOOKUP(Jnl[[#This Row],[TrxId]], Trx[Id], Trx[Date],,0)</f>
        <v>46022</v>
      </c>
      <c r="C41" s="6" t="str">
        <f>_xlfn.XLOOKUP(Jnl[[#This Row],[TrxId]], Trx[Id], Trx[Division],,0)</f>
        <v>Ctrl</v>
      </c>
      <c r="D41" s="6" t="str">
        <f>_xlfn.XLOOKUP(Jnl[[#This Row],[TrxId]], Trx[Id], Trx[Action],,0)</f>
        <v>结转</v>
      </c>
      <c r="E41" s="30" t="s">
        <v>95</v>
      </c>
      <c r="F41" s="10" t="s">
        <v>116</v>
      </c>
      <c r="G41" s="10" t="s">
        <v>197</v>
      </c>
      <c r="H41" s="21">
        <v>25551.3</v>
      </c>
      <c r="I41" s="4" t="b">
        <f>AND(Jnl[[#This Row],[TrxId]]&lt;&gt;"",Jnl[[#This Row],[Acct]]&lt;&gt;"",Jnl[[#This Row],[Item]]&lt;&gt;"",ISNUMBER(Jnl[[#This Row],[Bal]]))</f>
        <v>1</v>
      </c>
      <c r="J41" s="9">
        <f>IF(Jnl[[#This Row],[BSLv0]]="A",1,-1)*Jnl[[#This Row],[Bal]]</f>
        <v>25551.3</v>
      </c>
      <c r="K41" t="str">
        <f>_xlfn.XLOOKUP(Jnl[[#This Row],[Acct]], config_BS[Acct], config_BS[Lv0],,0)</f>
        <v>A</v>
      </c>
      <c r="L41" t="str">
        <f>_xlfn.XLOOKUP(Jnl[[#This Row],[Acct]], config_BS[Acct], config_BS[Lv1],,0)</f>
        <v>Assets</v>
      </c>
      <c r="M41" t="str">
        <f>_xlfn.XLOOKUP(Jnl[[#This Row],[Acct]], config_BS[Acct], config_BS[Lv2],,0)</f>
        <v>Rec-Pay</v>
      </c>
      <c r="N41" t="str">
        <f>_xlfn.XLOOKUP(Jnl[[#This Row],[TrxId]], Trx[Id], Trx[IncNode], ,0)</f>
        <v>Other</v>
      </c>
      <c r="O41" t="str">
        <f>_xlfn.XLOOKUP(Jnl[[#This Row],[IncNode]], config_IS[Node], config_IS[Type],,0)</f>
        <v>Non-Op</v>
      </c>
      <c r="P41" t="str">
        <f>_xlfn.XLOOKUP(Jnl[[#This Row],[BSLv2]], dict[Key], dict[Name],,0)</f>
        <v>1.应收-应付</v>
      </c>
      <c r="Q41" t="str">
        <f>_xlfn.XLOOKUP(Jnl[[#This Row],[Acct]], dict[Key], dict[Name],,0)</f>
        <v>应收-一般</v>
      </c>
      <c r="R41" t="str">
        <f>_xlfn.XLOOKUP(Jnl[[#This Row],[Vehicle]],config_vehicle[Id], config_vehicle[Name],,0)</f>
        <v>创业园-琦</v>
      </c>
      <c r="S41" t="str">
        <f>_xlfn.XLOOKUP(Jnl[[#This Row],[Division]],config_div[Id], config_div[Name],,0)</f>
        <v>内控合规</v>
      </c>
      <c r="T41" t="str">
        <f>IF(Jnl[[#This Row],[TrxDate]]&lt;=stmt_BS_date_end, "In", "Out")</f>
        <v>In</v>
      </c>
      <c r="U41" t="str">
        <f>IF(Jnl[[#This Row],[TrxDate]]&lt;debug_date_start, "prior", IF(Jnl[[#This Row],[TrxDate]]&gt;debug_date_end, "post", "curr"))</f>
        <v>prior</v>
      </c>
    </row>
    <row r="42" spans="1:21">
      <c r="A42" s="10" t="s">
        <v>249</v>
      </c>
      <c r="B42" s="6">
        <f>_xlfn.XLOOKUP(Jnl[[#This Row],[TrxId]], Trx[Id], Trx[Date],,0)</f>
        <v>46022</v>
      </c>
      <c r="C42" s="6" t="str">
        <f>_xlfn.XLOOKUP(Jnl[[#This Row],[TrxId]], Trx[Id], Trx[Division],,0)</f>
        <v>Ctrl</v>
      </c>
      <c r="D42" s="6" t="str">
        <f>_xlfn.XLOOKUP(Jnl[[#This Row],[TrxId]], Trx[Id], Trx[Action],,0)</f>
        <v>结转</v>
      </c>
      <c r="E42" s="30" t="s">
        <v>83</v>
      </c>
      <c r="F42" s="10" t="s">
        <v>118</v>
      </c>
      <c r="G42" s="10" t="s">
        <v>145</v>
      </c>
      <c r="H42" s="21">
        <v>130521.15</v>
      </c>
      <c r="I42" s="4" t="b">
        <f>AND(Jnl[[#This Row],[TrxId]]&lt;&gt;"",Jnl[[#This Row],[Acct]]&lt;&gt;"",Jnl[[#This Row],[Item]]&lt;&gt;"",ISNUMBER(Jnl[[#This Row],[Bal]]))</f>
        <v>1</v>
      </c>
      <c r="J42" s="9">
        <f>IF(Jnl[[#This Row],[BSLv0]]="A",1,-1)*Jnl[[#This Row],[Bal]]</f>
        <v>130521.15</v>
      </c>
      <c r="K42" t="str">
        <f>_xlfn.XLOOKUP(Jnl[[#This Row],[Acct]], config_BS[Acct], config_BS[Lv0],,0)</f>
        <v>A</v>
      </c>
      <c r="L42" t="str">
        <f>_xlfn.XLOOKUP(Jnl[[#This Row],[Acct]], config_BS[Acct], config_BS[Lv1],,0)</f>
        <v>Assets</v>
      </c>
      <c r="M42" t="str">
        <f>_xlfn.XLOOKUP(Jnl[[#This Row],[Acct]], config_BS[Acct], config_BS[Lv2],,0)</f>
        <v>Prep-Sub</v>
      </c>
      <c r="N42" t="str">
        <f>_xlfn.XLOOKUP(Jnl[[#This Row],[TrxId]], Trx[Id], Trx[IncNode], ,0)</f>
        <v>Other</v>
      </c>
      <c r="O42" t="str">
        <f>_xlfn.XLOOKUP(Jnl[[#This Row],[IncNode]], config_IS[Node], config_IS[Type],,0)</f>
        <v>Non-Op</v>
      </c>
      <c r="P42" t="str">
        <f>_xlfn.XLOOKUP(Jnl[[#This Row],[BSLv2]], dict[Key], dict[Name],,0)</f>
        <v>2.预付-订阅</v>
      </c>
      <c r="Q42" t="str">
        <f>_xlfn.XLOOKUP(Jnl[[#This Row],[Acct]], dict[Key], dict[Name],,0)</f>
        <v>订单</v>
      </c>
      <c r="R42" t="str">
        <f>_xlfn.XLOOKUP(Jnl[[#This Row],[Vehicle]],config_vehicle[Id], config_vehicle[Name],,0)</f>
        <v>喜家文化</v>
      </c>
      <c r="S42" t="str">
        <f>_xlfn.XLOOKUP(Jnl[[#This Row],[Division]],config_div[Id], config_div[Name],,0)</f>
        <v>内控合规</v>
      </c>
      <c r="T42" t="str">
        <f>IF(Jnl[[#This Row],[TrxDate]]&lt;=stmt_BS_date_end, "In", "Out")</f>
        <v>In</v>
      </c>
      <c r="U42" t="str">
        <f>IF(Jnl[[#This Row],[TrxDate]]&lt;debug_date_start, "prior", IF(Jnl[[#This Row],[TrxDate]]&gt;debug_date_end, "post", "curr"))</f>
        <v>prior</v>
      </c>
    </row>
    <row r="43" spans="1:21">
      <c r="A43" s="10" t="s">
        <v>249</v>
      </c>
      <c r="B43" s="6">
        <f>_xlfn.XLOOKUP(Jnl[[#This Row],[TrxId]], Trx[Id], Trx[Date],,0)</f>
        <v>46022</v>
      </c>
      <c r="C43" s="6" t="str">
        <f>_xlfn.XLOOKUP(Jnl[[#This Row],[TrxId]], Trx[Id], Trx[Division],,0)</f>
        <v>Ctrl</v>
      </c>
      <c r="D43" s="6" t="str">
        <f>_xlfn.XLOOKUP(Jnl[[#This Row],[TrxId]], Trx[Id], Trx[Action],,0)</f>
        <v>结转</v>
      </c>
      <c r="E43" s="30" t="s">
        <v>82</v>
      </c>
      <c r="F43" s="10" t="s">
        <v>118</v>
      </c>
      <c r="G43" s="10" t="s">
        <v>146</v>
      </c>
      <c r="H43" s="21">
        <v>87645.27</v>
      </c>
      <c r="I43" s="4" t="b">
        <f>AND(Jnl[[#This Row],[TrxId]]&lt;&gt;"",Jnl[[#This Row],[Acct]]&lt;&gt;"",Jnl[[#This Row],[Item]]&lt;&gt;"",ISNUMBER(Jnl[[#This Row],[Bal]]))</f>
        <v>1</v>
      </c>
      <c r="J43" s="9">
        <f>IF(Jnl[[#This Row],[BSLv0]]="A",1,-1)*Jnl[[#This Row],[Bal]]</f>
        <v>87645.27</v>
      </c>
      <c r="K43" t="str">
        <f>_xlfn.XLOOKUP(Jnl[[#This Row],[Acct]], config_BS[Acct], config_BS[Lv0],,0)</f>
        <v>A</v>
      </c>
      <c r="L43" t="str">
        <f>_xlfn.XLOOKUP(Jnl[[#This Row],[Acct]], config_BS[Acct], config_BS[Lv1],,0)</f>
        <v>Assets</v>
      </c>
      <c r="M43" t="str">
        <f>_xlfn.XLOOKUP(Jnl[[#This Row],[Acct]], config_BS[Acct], config_BS[Lv2],,0)</f>
        <v>Prep-Sub</v>
      </c>
      <c r="N43" t="str">
        <f>_xlfn.XLOOKUP(Jnl[[#This Row],[TrxId]], Trx[Id], Trx[IncNode], ,0)</f>
        <v>Other</v>
      </c>
      <c r="O43" t="str">
        <f>_xlfn.XLOOKUP(Jnl[[#This Row],[IncNode]], config_IS[Node], config_IS[Type],,0)</f>
        <v>Non-Op</v>
      </c>
      <c r="P43" t="str">
        <f>_xlfn.XLOOKUP(Jnl[[#This Row],[BSLv2]], dict[Key], dict[Name],,0)</f>
        <v>2.预付-订阅</v>
      </c>
      <c r="Q43" t="str">
        <f>_xlfn.XLOOKUP(Jnl[[#This Row],[Acct]], dict[Key], dict[Name],,0)</f>
        <v>订单</v>
      </c>
      <c r="R43" t="str">
        <f>_xlfn.XLOOKUP(Jnl[[#This Row],[Vehicle]],config_vehicle[Id], config_vehicle[Name],,0)</f>
        <v>远家花园</v>
      </c>
      <c r="S43" t="str">
        <f>_xlfn.XLOOKUP(Jnl[[#This Row],[Division]],config_div[Id], config_div[Name],,0)</f>
        <v>内控合规</v>
      </c>
      <c r="T43" t="str">
        <f>IF(Jnl[[#This Row],[TrxDate]]&lt;=stmt_BS_date_end, "In", "Out")</f>
        <v>In</v>
      </c>
      <c r="U43" t="str">
        <f>IF(Jnl[[#This Row],[TrxDate]]&lt;debug_date_start, "prior", IF(Jnl[[#This Row],[TrxDate]]&gt;debug_date_end, "post", "curr"))</f>
        <v>prior</v>
      </c>
    </row>
    <row r="44" spans="1:21">
      <c r="A44" s="10" t="s">
        <v>249</v>
      </c>
      <c r="B44" s="6">
        <f>_xlfn.XLOOKUP(Jnl[[#This Row],[TrxId]], Trx[Id], Trx[Date],,0)</f>
        <v>46022</v>
      </c>
      <c r="C44" s="6" t="str">
        <f>_xlfn.XLOOKUP(Jnl[[#This Row],[TrxId]], Trx[Id], Trx[Division],,0)</f>
        <v>Ctrl</v>
      </c>
      <c r="D44" s="6" t="str">
        <f>_xlfn.XLOOKUP(Jnl[[#This Row],[TrxId]], Trx[Id], Trx[Action],,0)</f>
        <v>结转</v>
      </c>
      <c r="E44" s="30" t="s">
        <v>87</v>
      </c>
      <c r="F44" s="10" t="s">
        <v>118</v>
      </c>
      <c r="G44" s="10" t="s">
        <v>147</v>
      </c>
      <c r="H44" s="21">
        <v>99417.5</v>
      </c>
      <c r="I44" s="4" t="b">
        <f>AND(Jnl[[#This Row],[TrxId]]&lt;&gt;"",Jnl[[#This Row],[Acct]]&lt;&gt;"",Jnl[[#This Row],[Item]]&lt;&gt;"",ISNUMBER(Jnl[[#This Row],[Bal]]))</f>
        <v>1</v>
      </c>
      <c r="J44" s="9">
        <f>IF(Jnl[[#This Row],[BSLv0]]="A",1,-1)*Jnl[[#This Row],[Bal]]</f>
        <v>99417.5</v>
      </c>
      <c r="K44" t="str">
        <f>_xlfn.XLOOKUP(Jnl[[#This Row],[Acct]], config_BS[Acct], config_BS[Lv0],,0)</f>
        <v>A</v>
      </c>
      <c r="L44" t="str">
        <f>_xlfn.XLOOKUP(Jnl[[#This Row],[Acct]], config_BS[Acct], config_BS[Lv1],,0)</f>
        <v>Assets</v>
      </c>
      <c r="M44" t="str">
        <f>_xlfn.XLOOKUP(Jnl[[#This Row],[Acct]], config_BS[Acct], config_BS[Lv2],,0)</f>
        <v>Prep-Sub</v>
      </c>
      <c r="N44" t="str">
        <f>_xlfn.XLOOKUP(Jnl[[#This Row],[TrxId]], Trx[Id], Trx[IncNode], ,0)</f>
        <v>Other</v>
      </c>
      <c r="O44" t="str">
        <f>_xlfn.XLOOKUP(Jnl[[#This Row],[IncNode]], config_IS[Node], config_IS[Type],,0)</f>
        <v>Non-Op</v>
      </c>
      <c r="P44" t="str">
        <f>_xlfn.XLOOKUP(Jnl[[#This Row],[BSLv2]], dict[Key], dict[Name],,0)</f>
        <v>2.预付-订阅</v>
      </c>
      <c r="Q44" t="str">
        <f>_xlfn.XLOOKUP(Jnl[[#This Row],[Acct]], dict[Key], dict[Name],,0)</f>
        <v>订单</v>
      </c>
      <c r="R44" t="str">
        <f>_xlfn.XLOOKUP(Jnl[[#This Row],[Vehicle]],config_vehicle[Id], config_vehicle[Name],,0)</f>
        <v>桑木</v>
      </c>
      <c r="S44" t="str">
        <f>_xlfn.XLOOKUP(Jnl[[#This Row],[Division]],config_div[Id], config_div[Name],,0)</f>
        <v>内控合规</v>
      </c>
      <c r="T44" t="str">
        <f>IF(Jnl[[#This Row],[TrxDate]]&lt;=stmt_BS_date_end, "In", "Out")</f>
        <v>In</v>
      </c>
      <c r="U44" t="str">
        <f>IF(Jnl[[#This Row],[TrxDate]]&lt;debug_date_start, "prior", IF(Jnl[[#This Row],[TrxDate]]&gt;debug_date_end, "post", "curr"))</f>
        <v>prior</v>
      </c>
    </row>
    <row r="45" spans="1:21">
      <c r="A45" s="10" t="s">
        <v>249</v>
      </c>
      <c r="B45" s="6">
        <f>_xlfn.XLOOKUP(Jnl[[#This Row],[TrxId]], Trx[Id], Trx[Date],,0)</f>
        <v>46022</v>
      </c>
      <c r="C45" s="6" t="str">
        <f>_xlfn.XLOOKUP(Jnl[[#This Row],[TrxId]], Trx[Id], Trx[Division],,0)</f>
        <v>Ctrl</v>
      </c>
      <c r="D45" s="6" t="str">
        <f>_xlfn.XLOOKUP(Jnl[[#This Row],[TrxId]], Trx[Id], Trx[Action],,0)</f>
        <v>结转</v>
      </c>
      <c r="E45" s="30" t="s">
        <v>84</v>
      </c>
      <c r="F45" s="10" t="s">
        <v>118</v>
      </c>
      <c r="G45" s="10" t="s">
        <v>146</v>
      </c>
      <c r="H45" s="21">
        <v>1225</v>
      </c>
      <c r="I45" s="4" t="b">
        <f>AND(Jnl[[#This Row],[TrxId]]&lt;&gt;"",Jnl[[#This Row],[Acct]]&lt;&gt;"",Jnl[[#This Row],[Item]]&lt;&gt;"",ISNUMBER(Jnl[[#This Row],[Bal]]))</f>
        <v>1</v>
      </c>
      <c r="J45" s="9">
        <f>IF(Jnl[[#This Row],[BSLv0]]="A",1,-1)*Jnl[[#This Row],[Bal]]</f>
        <v>1225</v>
      </c>
      <c r="K45" t="str">
        <f>_xlfn.XLOOKUP(Jnl[[#This Row],[Acct]], config_BS[Acct], config_BS[Lv0],,0)</f>
        <v>A</v>
      </c>
      <c r="L45" t="str">
        <f>_xlfn.XLOOKUP(Jnl[[#This Row],[Acct]], config_BS[Acct], config_BS[Lv1],,0)</f>
        <v>Assets</v>
      </c>
      <c r="M45" t="str">
        <f>_xlfn.XLOOKUP(Jnl[[#This Row],[Acct]], config_BS[Acct], config_BS[Lv2],,0)</f>
        <v>Prep-Sub</v>
      </c>
      <c r="N45" t="str">
        <f>_xlfn.XLOOKUP(Jnl[[#This Row],[TrxId]], Trx[Id], Trx[IncNode], ,0)</f>
        <v>Other</v>
      </c>
      <c r="O45" t="str">
        <f>_xlfn.XLOOKUP(Jnl[[#This Row],[IncNode]], config_IS[Node], config_IS[Type],,0)</f>
        <v>Non-Op</v>
      </c>
      <c r="P45" t="str">
        <f>_xlfn.XLOOKUP(Jnl[[#This Row],[BSLv2]], dict[Key], dict[Name],,0)</f>
        <v>2.预付-订阅</v>
      </c>
      <c r="Q45" t="str">
        <f>_xlfn.XLOOKUP(Jnl[[#This Row],[Acct]], dict[Key], dict[Name],,0)</f>
        <v>订单</v>
      </c>
      <c r="R45" t="str">
        <f>_xlfn.XLOOKUP(Jnl[[#This Row],[Vehicle]],config_vehicle[Id], config_vehicle[Name],,0)</f>
        <v>米小易</v>
      </c>
      <c r="S45" t="str">
        <f>_xlfn.XLOOKUP(Jnl[[#This Row],[Division]],config_div[Id], config_div[Name],,0)</f>
        <v>内控合规</v>
      </c>
      <c r="T45" t="str">
        <f>IF(Jnl[[#This Row],[TrxDate]]&lt;=stmt_BS_date_end, "In", "Out")</f>
        <v>In</v>
      </c>
      <c r="U45" t="str">
        <f>IF(Jnl[[#This Row],[TrxDate]]&lt;debug_date_start, "prior", IF(Jnl[[#This Row],[TrxDate]]&gt;debug_date_end, "post", "curr"))</f>
        <v>prior</v>
      </c>
    </row>
    <row r="46" spans="1:21">
      <c r="A46" s="10" t="s">
        <v>249</v>
      </c>
      <c r="B46" s="6">
        <f>_xlfn.XLOOKUP(Jnl[[#This Row],[TrxId]], Trx[Id], Trx[Date],,0)</f>
        <v>46022</v>
      </c>
      <c r="C46" s="6" t="str">
        <f>_xlfn.XLOOKUP(Jnl[[#This Row],[TrxId]], Trx[Id], Trx[Division],,0)</f>
        <v>Ctrl</v>
      </c>
      <c r="D46" s="6" t="str">
        <f>_xlfn.XLOOKUP(Jnl[[#This Row],[TrxId]], Trx[Id], Trx[Action],,0)</f>
        <v>结转</v>
      </c>
      <c r="E46" s="30" t="s">
        <v>85</v>
      </c>
      <c r="F46" s="10" t="s">
        <v>119</v>
      </c>
      <c r="G46" s="10" t="s">
        <v>157</v>
      </c>
      <c r="H46" s="21">
        <v>192761.82</v>
      </c>
      <c r="I46" s="4" t="b">
        <f>AND(Jnl[[#This Row],[TrxId]]&lt;&gt;"",Jnl[[#This Row],[Acct]]&lt;&gt;"",Jnl[[#This Row],[Item]]&lt;&gt;"",ISNUMBER(Jnl[[#This Row],[Bal]]))</f>
        <v>1</v>
      </c>
      <c r="J46" s="9">
        <f>IF(Jnl[[#This Row],[BSLv0]]="A",1,-1)*Jnl[[#This Row],[Bal]]</f>
        <v>192761.82</v>
      </c>
      <c r="K46" t="str">
        <f>_xlfn.XLOOKUP(Jnl[[#This Row],[Acct]], config_BS[Acct], config_BS[Lv0],,0)</f>
        <v>A</v>
      </c>
      <c r="L46" t="str">
        <f>_xlfn.XLOOKUP(Jnl[[#This Row],[Acct]], config_BS[Acct], config_BS[Lv1],,0)</f>
        <v>Assets</v>
      </c>
      <c r="M46" t="str">
        <f>_xlfn.XLOOKUP(Jnl[[#This Row],[Acct]], config_BS[Acct], config_BS[Lv2],,0)</f>
        <v>Invtr</v>
      </c>
      <c r="N46" t="str">
        <f>_xlfn.XLOOKUP(Jnl[[#This Row],[TrxId]], Trx[Id], Trx[IncNode], ,0)</f>
        <v>Other</v>
      </c>
      <c r="O46" t="str">
        <f>_xlfn.XLOOKUP(Jnl[[#This Row],[IncNode]], config_IS[Node], config_IS[Type],,0)</f>
        <v>Non-Op</v>
      </c>
      <c r="P46" t="str">
        <f>_xlfn.XLOOKUP(Jnl[[#This Row],[BSLv2]], dict[Key], dict[Name],,0)</f>
        <v>3.库存占款</v>
      </c>
      <c r="Q46" t="str">
        <f>_xlfn.XLOOKUP(Jnl[[#This Row],[Acct]], dict[Key], dict[Name],,0)</f>
        <v>当期存货</v>
      </c>
      <c r="R46" t="str">
        <f>_xlfn.XLOOKUP(Jnl[[#This Row],[Vehicle]],config_vehicle[Id], config_vehicle[Name],,0)</f>
        <v>远家文化</v>
      </c>
      <c r="S46" t="str">
        <f>_xlfn.XLOOKUP(Jnl[[#This Row],[Division]],config_div[Id], config_div[Name],,0)</f>
        <v>内控合规</v>
      </c>
      <c r="T46" t="str">
        <f>IF(Jnl[[#This Row],[TrxDate]]&lt;=stmt_BS_date_end, "In", "Out")</f>
        <v>In</v>
      </c>
      <c r="U46" t="str">
        <f>IF(Jnl[[#This Row],[TrxDate]]&lt;debug_date_start, "prior", IF(Jnl[[#This Row],[TrxDate]]&gt;debug_date_end, "post", "curr"))</f>
        <v>prior</v>
      </c>
    </row>
    <row r="47" spans="1:21">
      <c r="A47" s="10" t="s">
        <v>249</v>
      </c>
      <c r="B47" s="6">
        <f>_xlfn.XLOOKUP(Jnl[[#This Row],[TrxId]], Trx[Id], Trx[Date],,0)</f>
        <v>46022</v>
      </c>
      <c r="C47" s="6" t="str">
        <f>_xlfn.XLOOKUP(Jnl[[#This Row],[TrxId]], Trx[Id], Trx[Division],,0)</f>
        <v>Ctrl</v>
      </c>
      <c r="D47" s="6" t="str">
        <f>_xlfn.XLOOKUP(Jnl[[#This Row],[TrxId]], Trx[Id], Trx[Action],,0)</f>
        <v>结转</v>
      </c>
      <c r="E47" s="30" t="s">
        <v>84</v>
      </c>
      <c r="F47" s="10" t="s">
        <v>119</v>
      </c>
      <c r="G47" s="10" t="s">
        <v>156</v>
      </c>
      <c r="H47" s="21">
        <v>242182.81</v>
      </c>
      <c r="I47" s="4" t="b">
        <f>AND(Jnl[[#This Row],[TrxId]]&lt;&gt;"",Jnl[[#This Row],[Acct]]&lt;&gt;"",Jnl[[#This Row],[Item]]&lt;&gt;"",ISNUMBER(Jnl[[#This Row],[Bal]]))</f>
        <v>1</v>
      </c>
      <c r="J47" s="9">
        <f>IF(Jnl[[#This Row],[BSLv0]]="A",1,-1)*Jnl[[#This Row],[Bal]]</f>
        <v>242182.81</v>
      </c>
      <c r="K47" t="str">
        <f>_xlfn.XLOOKUP(Jnl[[#This Row],[Acct]], config_BS[Acct], config_BS[Lv0],,0)</f>
        <v>A</v>
      </c>
      <c r="L47" t="str">
        <f>_xlfn.XLOOKUP(Jnl[[#This Row],[Acct]], config_BS[Acct], config_BS[Lv1],,0)</f>
        <v>Assets</v>
      </c>
      <c r="M47" t="str">
        <f>_xlfn.XLOOKUP(Jnl[[#This Row],[Acct]], config_BS[Acct], config_BS[Lv2],,0)</f>
        <v>Invtr</v>
      </c>
      <c r="N47" t="str">
        <f>_xlfn.XLOOKUP(Jnl[[#This Row],[TrxId]], Trx[Id], Trx[IncNode], ,0)</f>
        <v>Other</v>
      </c>
      <c r="O47" t="str">
        <f>_xlfn.XLOOKUP(Jnl[[#This Row],[IncNode]], config_IS[Node], config_IS[Type],,0)</f>
        <v>Non-Op</v>
      </c>
      <c r="P47" t="str">
        <f>_xlfn.XLOOKUP(Jnl[[#This Row],[BSLv2]], dict[Key], dict[Name],,0)</f>
        <v>3.库存占款</v>
      </c>
      <c r="Q47" t="str">
        <f>_xlfn.XLOOKUP(Jnl[[#This Row],[Acct]], dict[Key], dict[Name],,0)</f>
        <v>当期存货</v>
      </c>
      <c r="R47" t="str">
        <f>_xlfn.XLOOKUP(Jnl[[#This Row],[Vehicle]],config_vehicle[Id], config_vehicle[Name],,0)</f>
        <v>米小易</v>
      </c>
      <c r="S47" t="str">
        <f>_xlfn.XLOOKUP(Jnl[[#This Row],[Division]],config_div[Id], config_div[Name],,0)</f>
        <v>内控合规</v>
      </c>
      <c r="T47" t="str">
        <f>IF(Jnl[[#This Row],[TrxDate]]&lt;=stmt_BS_date_end, "In", "Out")</f>
        <v>In</v>
      </c>
      <c r="U47" t="str">
        <f>IF(Jnl[[#This Row],[TrxDate]]&lt;debug_date_start, "prior", IF(Jnl[[#This Row],[TrxDate]]&gt;debug_date_end, "post", "curr"))</f>
        <v>prior</v>
      </c>
    </row>
    <row r="48" spans="1:21">
      <c r="A48" s="10" t="s">
        <v>249</v>
      </c>
      <c r="B48" s="6">
        <f>_xlfn.XLOOKUP(Jnl[[#This Row],[TrxId]], Trx[Id], Trx[Date],,0)</f>
        <v>46022</v>
      </c>
      <c r="C48" s="6" t="str">
        <f>_xlfn.XLOOKUP(Jnl[[#This Row],[TrxId]], Trx[Id], Trx[Division],,0)</f>
        <v>Ctrl</v>
      </c>
      <c r="D48" s="6" t="str">
        <f>_xlfn.XLOOKUP(Jnl[[#This Row],[TrxId]], Trx[Id], Trx[Action],,0)</f>
        <v>结转</v>
      </c>
      <c r="E48" s="30" t="s">
        <v>82</v>
      </c>
      <c r="F48" s="10" t="s">
        <v>119</v>
      </c>
      <c r="G48" s="10" t="s">
        <v>155</v>
      </c>
      <c r="H48" s="21">
        <v>10513383.689999999</v>
      </c>
      <c r="I48" s="4" t="b">
        <f>AND(Jnl[[#This Row],[TrxId]]&lt;&gt;"",Jnl[[#This Row],[Acct]]&lt;&gt;"",Jnl[[#This Row],[Item]]&lt;&gt;"",ISNUMBER(Jnl[[#This Row],[Bal]]))</f>
        <v>1</v>
      </c>
      <c r="J48" s="9">
        <f>IF(Jnl[[#This Row],[BSLv0]]="A",1,-1)*Jnl[[#This Row],[Bal]]</f>
        <v>10513383.689999999</v>
      </c>
      <c r="K48" t="str">
        <f>_xlfn.XLOOKUP(Jnl[[#This Row],[Acct]], config_BS[Acct], config_BS[Lv0],,0)</f>
        <v>A</v>
      </c>
      <c r="L48" t="str">
        <f>_xlfn.XLOOKUP(Jnl[[#This Row],[Acct]], config_BS[Acct], config_BS[Lv1],,0)</f>
        <v>Assets</v>
      </c>
      <c r="M48" t="str">
        <f>_xlfn.XLOOKUP(Jnl[[#This Row],[Acct]], config_BS[Acct], config_BS[Lv2],,0)</f>
        <v>Invtr</v>
      </c>
      <c r="N48" t="str">
        <f>_xlfn.XLOOKUP(Jnl[[#This Row],[TrxId]], Trx[Id], Trx[IncNode], ,0)</f>
        <v>Other</v>
      </c>
      <c r="O48" t="str">
        <f>_xlfn.XLOOKUP(Jnl[[#This Row],[IncNode]], config_IS[Node], config_IS[Type],,0)</f>
        <v>Non-Op</v>
      </c>
      <c r="P48" t="str">
        <f>_xlfn.XLOOKUP(Jnl[[#This Row],[BSLv2]], dict[Key], dict[Name],,0)</f>
        <v>3.库存占款</v>
      </c>
      <c r="Q48" t="str">
        <f>_xlfn.XLOOKUP(Jnl[[#This Row],[Acct]], dict[Key], dict[Name],,0)</f>
        <v>当期存货</v>
      </c>
      <c r="R48" t="str">
        <f>_xlfn.XLOOKUP(Jnl[[#This Row],[Vehicle]],config_vehicle[Id], config_vehicle[Name],,0)</f>
        <v>远家花园</v>
      </c>
      <c r="S48" t="str">
        <f>_xlfn.XLOOKUP(Jnl[[#This Row],[Division]],config_div[Id], config_div[Name],,0)</f>
        <v>内控合规</v>
      </c>
      <c r="T48" t="str">
        <f>IF(Jnl[[#This Row],[TrxDate]]&lt;=stmt_BS_date_end, "In", "Out")</f>
        <v>In</v>
      </c>
      <c r="U48" t="str">
        <f>IF(Jnl[[#This Row],[TrxDate]]&lt;debug_date_start, "prior", IF(Jnl[[#This Row],[TrxDate]]&gt;debug_date_end, "post", "curr"))</f>
        <v>prior</v>
      </c>
    </row>
    <row r="49" spans="1:21">
      <c r="A49" s="10" t="s">
        <v>249</v>
      </c>
      <c r="B49" s="6">
        <f>_xlfn.XLOOKUP(Jnl[[#This Row],[TrxId]], Trx[Id], Trx[Date],,0)</f>
        <v>46022</v>
      </c>
      <c r="C49" s="6" t="str">
        <f>_xlfn.XLOOKUP(Jnl[[#This Row],[TrxId]], Trx[Id], Trx[Division],,0)</f>
        <v>Ctrl</v>
      </c>
      <c r="D49" s="6" t="str">
        <f>_xlfn.XLOOKUP(Jnl[[#This Row],[TrxId]], Trx[Id], Trx[Action],,0)</f>
        <v>结转</v>
      </c>
      <c r="E49" s="30" t="s">
        <v>85</v>
      </c>
      <c r="F49" s="10" t="s">
        <v>124</v>
      </c>
      <c r="G49" s="10" t="s">
        <v>210</v>
      </c>
      <c r="H49" s="21">
        <v>2949723.27</v>
      </c>
      <c r="I49" s="4" t="b">
        <f>AND(Jnl[[#This Row],[TrxId]]&lt;&gt;"",Jnl[[#This Row],[Acct]]&lt;&gt;"",Jnl[[#This Row],[Item]]&lt;&gt;"",ISNUMBER(Jnl[[#This Row],[Bal]]))</f>
        <v>1</v>
      </c>
      <c r="J49" s="9">
        <f>IF(Jnl[[#This Row],[BSLv0]]="A",1,-1)*Jnl[[#This Row],[Bal]]</f>
        <v>2949723.27</v>
      </c>
      <c r="K49" t="str">
        <f>_xlfn.XLOOKUP(Jnl[[#This Row],[Acct]], config_BS[Acct], config_BS[Lv0],,0)</f>
        <v>A</v>
      </c>
      <c r="L49" t="str">
        <f>_xlfn.XLOOKUP(Jnl[[#This Row],[Acct]], config_BS[Acct], config_BS[Lv1],,0)</f>
        <v>Assets</v>
      </c>
      <c r="M49" t="str">
        <f>_xlfn.XLOOKUP(Jnl[[#This Row],[Acct]], config_BS[Acct], config_BS[Lv2],,0)</f>
        <v>PP&amp;E</v>
      </c>
      <c r="N49" t="str">
        <f>_xlfn.XLOOKUP(Jnl[[#This Row],[TrxId]], Trx[Id], Trx[IncNode], ,0)</f>
        <v>Other</v>
      </c>
      <c r="O49" t="str">
        <f>_xlfn.XLOOKUP(Jnl[[#This Row],[IncNode]], config_IS[Node], config_IS[Type],,0)</f>
        <v>Non-Op</v>
      </c>
      <c r="P49" t="str">
        <f>_xlfn.XLOOKUP(Jnl[[#This Row],[BSLv2]], dict[Key], dict[Name],,0)</f>
        <v>5.硬件设施</v>
      </c>
      <c r="Q49" t="str">
        <f>_xlfn.XLOOKUP(Jnl[[#This Row],[Acct]], dict[Key], dict[Name],,0)</f>
        <v>房地产</v>
      </c>
      <c r="R49" t="str">
        <f>_xlfn.XLOOKUP(Jnl[[#This Row],[Vehicle]],config_vehicle[Id], config_vehicle[Name],,0)</f>
        <v>远家文化</v>
      </c>
      <c r="S49" t="str">
        <f>_xlfn.XLOOKUP(Jnl[[#This Row],[Division]],config_div[Id], config_div[Name],,0)</f>
        <v>内控合规</v>
      </c>
      <c r="T49" t="str">
        <f>IF(Jnl[[#This Row],[TrxDate]]&lt;=stmt_BS_date_end, "In", "Out")</f>
        <v>In</v>
      </c>
      <c r="U49" t="str">
        <f>IF(Jnl[[#This Row],[TrxDate]]&lt;debug_date_start, "prior", IF(Jnl[[#This Row],[TrxDate]]&gt;debug_date_end, "post", "curr"))</f>
        <v>prior</v>
      </c>
    </row>
    <row r="50" spans="1:21">
      <c r="A50" s="10" t="s">
        <v>249</v>
      </c>
      <c r="B50" s="6">
        <f>_xlfn.XLOOKUP(Jnl[[#This Row],[TrxId]], Trx[Id], Trx[Date],,0)</f>
        <v>46022</v>
      </c>
      <c r="C50" s="6" t="str">
        <f>_xlfn.XLOOKUP(Jnl[[#This Row],[TrxId]], Trx[Id], Trx[Division],,0)</f>
        <v>Ctrl</v>
      </c>
      <c r="D50" s="6" t="str">
        <f>_xlfn.XLOOKUP(Jnl[[#This Row],[TrxId]], Trx[Id], Trx[Action],,0)</f>
        <v>结转</v>
      </c>
      <c r="E50" s="30" t="s">
        <v>85</v>
      </c>
      <c r="F50" s="10" t="s">
        <v>124</v>
      </c>
      <c r="G50" s="10" t="s">
        <v>211</v>
      </c>
      <c r="H50" s="21">
        <v>21129338.43</v>
      </c>
      <c r="I50" s="4" t="b">
        <f>AND(Jnl[[#This Row],[TrxId]]&lt;&gt;"",Jnl[[#This Row],[Acct]]&lt;&gt;"",Jnl[[#This Row],[Item]]&lt;&gt;"",ISNUMBER(Jnl[[#This Row],[Bal]]))</f>
        <v>1</v>
      </c>
      <c r="J50" s="9">
        <f>IF(Jnl[[#This Row],[BSLv0]]="A",1,-1)*Jnl[[#This Row],[Bal]]</f>
        <v>21129338.43</v>
      </c>
      <c r="K50" t="str">
        <f>_xlfn.XLOOKUP(Jnl[[#This Row],[Acct]], config_BS[Acct], config_BS[Lv0],,0)</f>
        <v>A</v>
      </c>
      <c r="L50" t="str">
        <f>_xlfn.XLOOKUP(Jnl[[#This Row],[Acct]], config_BS[Acct], config_BS[Lv1],,0)</f>
        <v>Assets</v>
      </c>
      <c r="M50" t="str">
        <f>_xlfn.XLOOKUP(Jnl[[#This Row],[Acct]], config_BS[Acct], config_BS[Lv2],,0)</f>
        <v>PP&amp;E</v>
      </c>
      <c r="N50" t="str">
        <f>_xlfn.XLOOKUP(Jnl[[#This Row],[TrxId]], Trx[Id], Trx[IncNode], ,0)</f>
        <v>Other</v>
      </c>
      <c r="O50" t="str">
        <f>_xlfn.XLOOKUP(Jnl[[#This Row],[IncNode]], config_IS[Node], config_IS[Type],,0)</f>
        <v>Non-Op</v>
      </c>
      <c r="P50" t="str">
        <f>_xlfn.XLOOKUP(Jnl[[#This Row],[BSLv2]], dict[Key], dict[Name],,0)</f>
        <v>5.硬件设施</v>
      </c>
      <c r="Q50" t="str">
        <f>_xlfn.XLOOKUP(Jnl[[#This Row],[Acct]], dict[Key], dict[Name],,0)</f>
        <v>房地产</v>
      </c>
      <c r="R50" t="str">
        <f>_xlfn.XLOOKUP(Jnl[[#This Row],[Vehicle]],config_vehicle[Id], config_vehicle[Name],,0)</f>
        <v>远家文化</v>
      </c>
      <c r="S50" t="str">
        <f>_xlfn.XLOOKUP(Jnl[[#This Row],[Division]],config_div[Id], config_div[Name],,0)</f>
        <v>内控合规</v>
      </c>
      <c r="T50" t="str">
        <f>IF(Jnl[[#This Row],[TrxDate]]&lt;=stmt_BS_date_end, "In", "Out")</f>
        <v>In</v>
      </c>
      <c r="U50" t="str">
        <f>IF(Jnl[[#This Row],[TrxDate]]&lt;debug_date_start, "prior", IF(Jnl[[#This Row],[TrxDate]]&gt;debug_date_end, "post", "curr"))</f>
        <v>prior</v>
      </c>
    </row>
    <row r="51" spans="1:21">
      <c r="A51" s="10" t="s">
        <v>249</v>
      </c>
      <c r="B51" s="6">
        <f>_xlfn.XLOOKUP(Jnl[[#This Row],[TrxId]], Trx[Id], Trx[Date],,0)</f>
        <v>46022</v>
      </c>
      <c r="C51" s="6" t="str">
        <f>_xlfn.XLOOKUP(Jnl[[#This Row],[TrxId]], Trx[Id], Trx[Division],,0)</f>
        <v>Ctrl</v>
      </c>
      <c r="D51" s="6" t="str">
        <f>_xlfn.XLOOKUP(Jnl[[#This Row],[TrxId]], Trx[Id], Trx[Action],,0)</f>
        <v>结转</v>
      </c>
      <c r="E51" s="30" t="s">
        <v>85</v>
      </c>
      <c r="F51" s="10" t="s">
        <v>124</v>
      </c>
      <c r="G51" s="10" t="s">
        <v>193</v>
      </c>
      <c r="H51" s="21">
        <v>-5217130.03</v>
      </c>
      <c r="I51" s="4" t="b">
        <f>AND(Jnl[[#This Row],[TrxId]]&lt;&gt;"",Jnl[[#This Row],[Acct]]&lt;&gt;"",Jnl[[#This Row],[Item]]&lt;&gt;"",ISNUMBER(Jnl[[#This Row],[Bal]]))</f>
        <v>1</v>
      </c>
      <c r="J51" s="9">
        <f>IF(Jnl[[#This Row],[BSLv0]]="A",1,-1)*Jnl[[#This Row],[Bal]]</f>
        <v>-5217130.03</v>
      </c>
      <c r="K51" t="str">
        <f>_xlfn.XLOOKUP(Jnl[[#This Row],[Acct]], config_BS[Acct], config_BS[Lv0],,0)</f>
        <v>A</v>
      </c>
      <c r="L51" t="str">
        <f>_xlfn.XLOOKUP(Jnl[[#This Row],[Acct]], config_BS[Acct], config_BS[Lv1],,0)</f>
        <v>Assets</v>
      </c>
      <c r="M51" t="str">
        <f>_xlfn.XLOOKUP(Jnl[[#This Row],[Acct]], config_BS[Acct], config_BS[Lv2],,0)</f>
        <v>PP&amp;E</v>
      </c>
      <c r="N51" t="str">
        <f>_xlfn.XLOOKUP(Jnl[[#This Row],[TrxId]], Trx[Id], Trx[IncNode], ,0)</f>
        <v>Other</v>
      </c>
      <c r="O51" t="str">
        <f>_xlfn.XLOOKUP(Jnl[[#This Row],[IncNode]], config_IS[Node], config_IS[Type],,0)</f>
        <v>Non-Op</v>
      </c>
      <c r="P51" t="str">
        <f>_xlfn.XLOOKUP(Jnl[[#This Row],[BSLv2]], dict[Key], dict[Name],,0)</f>
        <v>5.硬件设施</v>
      </c>
      <c r="Q51" t="str">
        <f>_xlfn.XLOOKUP(Jnl[[#This Row],[Acct]], dict[Key], dict[Name],,0)</f>
        <v>房地产</v>
      </c>
      <c r="R51" t="str">
        <f>_xlfn.XLOOKUP(Jnl[[#This Row],[Vehicle]],config_vehicle[Id], config_vehicle[Name],,0)</f>
        <v>远家文化</v>
      </c>
      <c r="S51" t="str">
        <f>_xlfn.XLOOKUP(Jnl[[#This Row],[Division]],config_div[Id], config_div[Name],,0)</f>
        <v>内控合规</v>
      </c>
      <c r="T51" t="str">
        <f>IF(Jnl[[#This Row],[TrxDate]]&lt;=stmt_BS_date_end, "In", "Out")</f>
        <v>In</v>
      </c>
      <c r="U51" t="str">
        <f>IF(Jnl[[#This Row],[TrxDate]]&lt;debug_date_start, "prior", IF(Jnl[[#This Row],[TrxDate]]&gt;debug_date_end, "post", "curr"))</f>
        <v>prior</v>
      </c>
    </row>
    <row r="52" spans="1:21">
      <c r="A52" s="10" t="s">
        <v>249</v>
      </c>
      <c r="B52" s="6">
        <f>_xlfn.XLOOKUP(Jnl[[#This Row],[TrxId]], Trx[Id], Trx[Date],,0)</f>
        <v>46022</v>
      </c>
      <c r="C52" s="6" t="str">
        <f>_xlfn.XLOOKUP(Jnl[[#This Row],[TrxId]], Trx[Id], Trx[Division],,0)</f>
        <v>Ctrl</v>
      </c>
      <c r="D52" s="6" t="str">
        <f>_xlfn.XLOOKUP(Jnl[[#This Row],[TrxId]], Trx[Id], Trx[Action],,0)</f>
        <v>结转</v>
      </c>
      <c r="E52" s="30" t="s">
        <v>109</v>
      </c>
      <c r="F52" s="10" t="s">
        <v>124</v>
      </c>
      <c r="G52" s="10" t="s">
        <v>212</v>
      </c>
      <c r="H52" s="21">
        <v>6467900</v>
      </c>
      <c r="I52" s="4" t="b">
        <f>AND(Jnl[[#This Row],[TrxId]]&lt;&gt;"",Jnl[[#This Row],[Acct]]&lt;&gt;"",Jnl[[#This Row],[Item]]&lt;&gt;"",ISNUMBER(Jnl[[#This Row],[Bal]]))</f>
        <v>1</v>
      </c>
      <c r="J52" s="9">
        <f>IF(Jnl[[#This Row],[BSLv0]]="A",1,-1)*Jnl[[#This Row],[Bal]]</f>
        <v>6467900</v>
      </c>
      <c r="K52" t="str">
        <f>_xlfn.XLOOKUP(Jnl[[#This Row],[Acct]], config_BS[Acct], config_BS[Lv0],,0)</f>
        <v>A</v>
      </c>
      <c r="L52" t="str">
        <f>_xlfn.XLOOKUP(Jnl[[#This Row],[Acct]], config_BS[Acct], config_BS[Lv1],,0)</f>
        <v>Assets</v>
      </c>
      <c r="M52" t="str">
        <f>_xlfn.XLOOKUP(Jnl[[#This Row],[Acct]], config_BS[Acct], config_BS[Lv2],,0)</f>
        <v>PP&amp;E</v>
      </c>
      <c r="N52" t="str">
        <f>_xlfn.XLOOKUP(Jnl[[#This Row],[TrxId]], Trx[Id], Trx[IncNode], ,0)</f>
        <v>Other</v>
      </c>
      <c r="O52" t="str">
        <f>_xlfn.XLOOKUP(Jnl[[#This Row],[IncNode]], config_IS[Node], config_IS[Type],,0)</f>
        <v>Non-Op</v>
      </c>
      <c r="P52" t="str">
        <f>_xlfn.XLOOKUP(Jnl[[#This Row],[BSLv2]], dict[Key], dict[Name],,0)</f>
        <v>5.硬件设施</v>
      </c>
      <c r="Q52" t="str">
        <f>_xlfn.XLOOKUP(Jnl[[#This Row],[Acct]], dict[Key], dict[Name],,0)</f>
        <v>房地产</v>
      </c>
      <c r="R52" t="str">
        <f>_xlfn.XLOOKUP(Jnl[[#This Row],[Vehicle]],config_vehicle[Id], config_vehicle[Name],,0)</f>
        <v>远家花园高新分公司</v>
      </c>
      <c r="S52" t="str">
        <f>_xlfn.XLOOKUP(Jnl[[#This Row],[Division]],config_div[Id], config_div[Name],,0)</f>
        <v>内控合规</v>
      </c>
      <c r="T52" t="str">
        <f>IF(Jnl[[#This Row],[TrxDate]]&lt;=stmt_BS_date_end, "In", "Out")</f>
        <v>In</v>
      </c>
      <c r="U52" t="str">
        <f>IF(Jnl[[#This Row],[TrxDate]]&lt;debug_date_start, "prior", IF(Jnl[[#This Row],[TrxDate]]&gt;debug_date_end, "post", "curr"))</f>
        <v>prior</v>
      </c>
    </row>
    <row r="53" spans="1:21">
      <c r="A53" s="10" t="s">
        <v>249</v>
      </c>
      <c r="B53" s="6">
        <f>_xlfn.XLOOKUP(Jnl[[#This Row],[TrxId]], Trx[Id], Trx[Date],,0)</f>
        <v>46022</v>
      </c>
      <c r="C53" s="6" t="str">
        <f>_xlfn.XLOOKUP(Jnl[[#This Row],[TrxId]], Trx[Id], Trx[Division],,0)</f>
        <v>Ctrl</v>
      </c>
      <c r="D53" s="6" t="str">
        <f>_xlfn.XLOOKUP(Jnl[[#This Row],[TrxId]], Trx[Id], Trx[Action],,0)</f>
        <v>结转</v>
      </c>
      <c r="E53" s="30" t="s">
        <v>109</v>
      </c>
      <c r="F53" s="10" t="s">
        <v>124</v>
      </c>
      <c r="G53" s="10" t="s">
        <v>194</v>
      </c>
      <c r="H53" s="21">
        <v>-1065602.3999999999</v>
      </c>
      <c r="I53" s="4" t="b">
        <f>AND(Jnl[[#This Row],[TrxId]]&lt;&gt;"",Jnl[[#This Row],[Acct]]&lt;&gt;"",Jnl[[#This Row],[Item]]&lt;&gt;"",ISNUMBER(Jnl[[#This Row],[Bal]]))</f>
        <v>1</v>
      </c>
      <c r="J53" s="9">
        <f>IF(Jnl[[#This Row],[BSLv0]]="A",1,-1)*Jnl[[#This Row],[Bal]]</f>
        <v>-1065602.3999999999</v>
      </c>
      <c r="K53" t="str">
        <f>_xlfn.XLOOKUP(Jnl[[#This Row],[Acct]], config_BS[Acct], config_BS[Lv0],,0)</f>
        <v>A</v>
      </c>
      <c r="L53" t="str">
        <f>_xlfn.XLOOKUP(Jnl[[#This Row],[Acct]], config_BS[Acct], config_BS[Lv1],,0)</f>
        <v>Assets</v>
      </c>
      <c r="M53" t="str">
        <f>_xlfn.XLOOKUP(Jnl[[#This Row],[Acct]], config_BS[Acct], config_BS[Lv2],,0)</f>
        <v>PP&amp;E</v>
      </c>
      <c r="N53" t="str">
        <f>_xlfn.XLOOKUP(Jnl[[#This Row],[TrxId]], Trx[Id], Trx[IncNode], ,0)</f>
        <v>Other</v>
      </c>
      <c r="O53" t="str">
        <f>_xlfn.XLOOKUP(Jnl[[#This Row],[IncNode]], config_IS[Node], config_IS[Type],,0)</f>
        <v>Non-Op</v>
      </c>
      <c r="P53" t="str">
        <f>_xlfn.XLOOKUP(Jnl[[#This Row],[BSLv2]], dict[Key], dict[Name],,0)</f>
        <v>5.硬件设施</v>
      </c>
      <c r="Q53" t="str">
        <f>_xlfn.XLOOKUP(Jnl[[#This Row],[Acct]], dict[Key], dict[Name],,0)</f>
        <v>房地产</v>
      </c>
      <c r="R53" t="str">
        <f>_xlfn.XLOOKUP(Jnl[[#This Row],[Vehicle]],config_vehicle[Id], config_vehicle[Name],,0)</f>
        <v>远家花园高新分公司</v>
      </c>
      <c r="S53" t="str">
        <f>_xlfn.XLOOKUP(Jnl[[#This Row],[Division]],config_div[Id], config_div[Name],,0)</f>
        <v>内控合规</v>
      </c>
      <c r="T53" t="str">
        <f>IF(Jnl[[#This Row],[TrxDate]]&lt;=stmt_BS_date_end, "In", "Out")</f>
        <v>In</v>
      </c>
      <c r="U53" t="str">
        <f>IF(Jnl[[#This Row],[TrxDate]]&lt;debug_date_start, "prior", IF(Jnl[[#This Row],[TrxDate]]&gt;debug_date_end, "post", "curr"))</f>
        <v>prior</v>
      </c>
    </row>
    <row r="54" spans="1:21">
      <c r="A54" s="10" t="s">
        <v>249</v>
      </c>
      <c r="B54" s="6">
        <f>_xlfn.XLOOKUP(Jnl[[#This Row],[TrxId]], Trx[Id], Trx[Date],,0)</f>
        <v>46022</v>
      </c>
      <c r="C54" s="6" t="str">
        <f>_xlfn.XLOOKUP(Jnl[[#This Row],[TrxId]], Trx[Id], Trx[Division],,0)</f>
        <v>Ctrl</v>
      </c>
      <c r="D54" s="6" t="str">
        <f>_xlfn.XLOOKUP(Jnl[[#This Row],[TrxId]], Trx[Id], Trx[Action],,0)</f>
        <v>结转</v>
      </c>
      <c r="E54" s="30" t="s">
        <v>83</v>
      </c>
      <c r="F54" s="10" t="s">
        <v>172</v>
      </c>
      <c r="G54" s="10" t="s">
        <v>148</v>
      </c>
      <c r="H54" s="21">
        <v>2000000</v>
      </c>
      <c r="I54" s="4" t="b">
        <f>AND(Jnl[[#This Row],[TrxId]]&lt;&gt;"",Jnl[[#This Row],[Acct]]&lt;&gt;"",Jnl[[#This Row],[Item]]&lt;&gt;"",ISNUMBER(Jnl[[#This Row],[Bal]]))</f>
        <v>1</v>
      </c>
      <c r="J54" s="9">
        <f>IF(Jnl[[#This Row],[BSLv0]]="A",1,-1)*Jnl[[#This Row],[Bal]]</f>
        <v>2000000</v>
      </c>
      <c r="K54" t="str">
        <f>_xlfn.XLOOKUP(Jnl[[#This Row],[Acct]], config_BS[Acct], config_BS[Lv0],,0)</f>
        <v>A</v>
      </c>
      <c r="L54" t="str">
        <f>_xlfn.XLOOKUP(Jnl[[#This Row],[Acct]], config_BS[Acct], config_BS[Lv1],,0)</f>
        <v>Assets</v>
      </c>
      <c r="M54" t="str">
        <f>_xlfn.XLOOKUP(Jnl[[#This Row],[Acct]], config_BS[Acct], config_BS[Lv2],,0)</f>
        <v>Invest-LTD</v>
      </c>
      <c r="N54" t="str">
        <f>_xlfn.XLOOKUP(Jnl[[#This Row],[TrxId]], Trx[Id], Trx[IncNode], ,0)</f>
        <v>Other</v>
      </c>
      <c r="O54" t="str">
        <f>_xlfn.XLOOKUP(Jnl[[#This Row],[IncNode]], config_IS[Node], config_IS[Type],,0)</f>
        <v>Non-Op</v>
      </c>
      <c r="P54" t="str">
        <f>_xlfn.XLOOKUP(Jnl[[#This Row],[BSLv2]], dict[Key], dict[Name],,0)</f>
        <v>6.投资与长期负债</v>
      </c>
      <c r="Q54" t="str">
        <f>_xlfn.XLOOKUP(Jnl[[#This Row],[Acct]], dict[Key], dict[Name],,0)</f>
        <v>权益性投资</v>
      </c>
      <c r="R54" t="str">
        <f>_xlfn.XLOOKUP(Jnl[[#This Row],[Vehicle]],config_vehicle[Id], config_vehicle[Name],,0)</f>
        <v>喜家文化</v>
      </c>
      <c r="S54" t="str">
        <f>_xlfn.XLOOKUP(Jnl[[#This Row],[Division]],config_div[Id], config_div[Name],,0)</f>
        <v>内控合规</v>
      </c>
      <c r="T54" t="str">
        <f>IF(Jnl[[#This Row],[TrxDate]]&lt;=stmt_BS_date_end, "In", "Out")</f>
        <v>In</v>
      </c>
      <c r="U54" t="str">
        <f>IF(Jnl[[#This Row],[TrxDate]]&lt;debug_date_start, "prior", IF(Jnl[[#This Row],[TrxDate]]&gt;debug_date_end, "post", "curr"))</f>
        <v>prior</v>
      </c>
    </row>
    <row r="55" spans="1:21">
      <c r="A55" s="10" t="s">
        <v>249</v>
      </c>
      <c r="B55" s="6">
        <f>_xlfn.XLOOKUP(Jnl[[#This Row],[TrxId]], Trx[Id], Trx[Date],,0)</f>
        <v>46022</v>
      </c>
      <c r="C55" s="6" t="str">
        <f>_xlfn.XLOOKUP(Jnl[[#This Row],[TrxId]], Trx[Id], Trx[Division],,0)</f>
        <v>Ctrl</v>
      </c>
      <c r="D55" s="6" t="str">
        <f>_xlfn.XLOOKUP(Jnl[[#This Row],[TrxId]], Trx[Id], Trx[Action],,0)</f>
        <v>结转</v>
      </c>
      <c r="E55" s="30" t="s">
        <v>83</v>
      </c>
      <c r="F55" s="10" t="s">
        <v>172</v>
      </c>
      <c r="G55" s="10" t="s">
        <v>149</v>
      </c>
      <c r="H55" s="21">
        <v>100000</v>
      </c>
      <c r="I55" s="4" t="b">
        <f>AND(Jnl[[#This Row],[TrxId]]&lt;&gt;"",Jnl[[#This Row],[Acct]]&lt;&gt;"",Jnl[[#This Row],[Item]]&lt;&gt;"",ISNUMBER(Jnl[[#This Row],[Bal]]))</f>
        <v>1</v>
      </c>
      <c r="J55" s="9">
        <f>IF(Jnl[[#This Row],[BSLv0]]="A",1,-1)*Jnl[[#This Row],[Bal]]</f>
        <v>100000</v>
      </c>
      <c r="K55" t="str">
        <f>_xlfn.XLOOKUP(Jnl[[#This Row],[Acct]], config_BS[Acct], config_BS[Lv0],,0)</f>
        <v>A</v>
      </c>
      <c r="L55" t="str">
        <f>_xlfn.XLOOKUP(Jnl[[#This Row],[Acct]], config_BS[Acct], config_BS[Lv1],,0)</f>
        <v>Assets</v>
      </c>
      <c r="M55" t="str">
        <f>_xlfn.XLOOKUP(Jnl[[#This Row],[Acct]], config_BS[Acct], config_BS[Lv2],,0)</f>
        <v>Invest-LTD</v>
      </c>
      <c r="N55" t="str">
        <f>_xlfn.XLOOKUP(Jnl[[#This Row],[TrxId]], Trx[Id], Trx[IncNode], ,0)</f>
        <v>Other</v>
      </c>
      <c r="O55" t="str">
        <f>_xlfn.XLOOKUP(Jnl[[#This Row],[IncNode]], config_IS[Node], config_IS[Type],,0)</f>
        <v>Non-Op</v>
      </c>
      <c r="P55" t="str">
        <f>_xlfn.XLOOKUP(Jnl[[#This Row],[BSLv2]], dict[Key], dict[Name],,0)</f>
        <v>6.投资与长期负债</v>
      </c>
      <c r="Q55" t="str">
        <f>_xlfn.XLOOKUP(Jnl[[#This Row],[Acct]], dict[Key], dict[Name],,0)</f>
        <v>权益性投资</v>
      </c>
      <c r="R55" t="str">
        <f>_xlfn.XLOOKUP(Jnl[[#This Row],[Vehicle]],config_vehicle[Id], config_vehicle[Name],,0)</f>
        <v>喜家文化</v>
      </c>
      <c r="S55" t="str">
        <f>_xlfn.XLOOKUP(Jnl[[#This Row],[Division]],config_div[Id], config_div[Name],,0)</f>
        <v>内控合规</v>
      </c>
      <c r="T55" t="str">
        <f>IF(Jnl[[#This Row],[TrxDate]]&lt;=stmt_BS_date_end, "In", "Out")</f>
        <v>In</v>
      </c>
      <c r="U55" t="str">
        <f>IF(Jnl[[#This Row],[TrxDate]]&lt;debug_date_start, "prior", IF(Jnl[[#This Row],[TrxDate]]&gt;debug_date_end, "post", "curr"))</f>
        <v>prior</v>
      </c>
    </row>
    <row r="56" spans="1:21">
      <c r="A56" s="10" t="s">
        <v>249</v>
      </c>
      <c r="B56" s="6">
        <f>_xlfn.XLOOKUP(Jnl[[#This Row],[TrxId]], Trx[Id], Trx[Date],,0)</f>
        <v>46022</v>
      </c>
      <c r="C56" s="6" t="str">
        <f>_xlfn.XLOOKUP(Jnl[[#This Row],[TrxId]], Trx[Id], Trx[Division],,0)</f>
        <v>Ctrl</v>
      </c>
      <c r="D56" s="6" t="str">
        <f>_xlfn.XLOOKUP(Jnl[[#This Row],[TrxId]], Trx[Id], Trx[Action],,0)</f>
        <v>结转</v>
      </c>
      <c r="E56" s="30" t="s">
        <v>83</v>
      </c>
      <c r="F56" s="10" t="s">
        <v>117</v>
      </c>
      <c r="G56" s="10" t="s">
        <v>140</v>
      </c>
      <c r="H56" s="21">
        <v>6891.7999999999993</v>
      </c>
      <c r="I56" s="4" t="b">
        <f>AND(Jnl[[#This Row],[TrxId]]&lt;&gt;"",Jnl[[#This Row],[Acct]]&lt;&gt;"",Jnl[[#This Row],[Item]]&lt;&gt;"",ISNUMBER(Jnl[[#This Row],[Bal]]))</f>
        <v>1</v>
      </c>
      <c r="J56" s="9">
        <f>IF(Jnl[[#This Row],[BSLv0]]="A",1,-1)*Jnl[[#This Row],[Bal]]</f>
        <v>-6891.7999999999993</v>
      </c>
      <c r="K56" t="str">
        <f>_xlfn.XLOOKUP(Jnl[[#This Row],[Acct]], config_BS[Acct], config_BS[Lv0],,0)</f>
        <v>LC</v>
      </c>
      <c r="L56" t="str">
        <f>_xlfn.XLOOKUP(Jnl[[#This Row],[Acct]], config_BS[Acct], config_BS[Lv1],,0)</f>
        <v>Liability</v>
      </c>
      <c r="M56" t="str">
        <f>_xlfn.XLOOKUP(Jnl[[#This Row],[Acct]], config_BS[Acct], config_BS[Lv2],,0)</f>
        <v>Rec-Pay</v>
      </c>
      <c r="N56" t="str">
        <f>_xlfn.XLOOKUP(Jnl[[#This Row],[TrxId]], Trx[Id], Trx[IncNode], ,0)</f>
        <v>Other</v>
      </c>
      <c r="O56" t="str">
        <f>_xlfn.XLOOKUP(Jnl[[#This Row],[IncNode]], config_IS[Node], config_IS[Type],,0)</f>
        <v>Non-Op</v>
      </c>
      <c r="P56" t="str">
        <f>_xlfn.XLOOKUP(Jnl[[#This Row],[BSLv2]], dict[Key], dict[Name],,0)</f>
        <v>1.应收-应付</v>
      </c>
      <c r="Q56" t="str">
        <f>_xlfn.XLOOKUP(Jnl[[#This Row],[Acct]], dict[Key], dict[Name],,0)</f>
        <v>应付-一般</v>
      </c>
      <c r="R56" t="str">
        <f>_xlfn.XLOOKUP(Jnl[[#This Row],[Vehicle]],config_vehicle[Id], config_vehicle[Name],,0)</f>
        <v>喜家文化</v>
      </c>
      <c r="S56" t="str">
        <f>_xlfn.XLOOKUP(Jnl[[#This Row],[Division]],config_div[Id], config_div[Name],,0)</f>
        <v>内控合规</v>
      </c>
      <c r="T56" t="str">
        <f>IF(Jnl[[#This Row],[TrxDate]]&lt;=stmt_BS_date_end, "In", "Out")</f>
        <v>In</v>
      </c>
      <c r="U56" t="str">
        <f>IF(Jnl[[#This Row],[TrxDate]]&lt;debug_date_start, "prior", IF(Jnl[[#This Row],[TrxDate]]&gt;debug_date_end, "post", "curr"))</f>
        <v>prior</v>
      </c>
    </row>
    <row r="57" spans="1:21">
      <c r="A57" s="10" t="s">
        <v>249</v>
      </c>
      <c r="B57" s="6">
        <f>_xlfn.XLOOKUP(Jnl[[#This Row],[TrxId]], Trx[Id], Trx[Date],,0)</f>
        <v>46022</v>
      </c>
      <c r="C57" s="6" t="str">
        <f>_xlfn.XLOOKUP(Jnl[[#This Row],[TrxId]], Trx[Id], Trx[Division],,0)</f>
        <v>Ctrl</v>
      </c>
      <c r="D57" s="6" t="str">
        <f>_xlfn.XLOOKUP(Jnl[[#This Row],[TrxId]], Trx[Id], Trx[Action],,0)</f>
        <v>结转</v>
      </c>
      <c r="E57" s="30" t="s">
        <v>83</v>
      </c>
      <c r="F57" s="10" t="s">
        <v>130</v>
      </c>
      <c r="G57" s="10" t="s">
        <v>152</v>
      </c>
      <c r="H57" s="21">
        <v>30730.53</v>
      </c>
      <c r="I57" s="4" t="b">
        <f>AND(Jnl[[#This Row],[TrxId]]&lt;&gt;"",Jnl[[#This Row],[Acct]]&lt;&gt;"",Jnl[[#This Row],[Item]]&lt;&gt;"",ISNUMBER(Jnl[[#This Row],[Bal]]))</f>
        <v>1</v>
      </c>
      <c r="J57" s="9">
        <f>IF(Jnl[[#This Row],[BSLv0]]="A",1,-1)*Jnl[[#This Row],[Bal]]</f>
        <v>-30730.53</v>
      </c>
      <c r="K57" t="str">
        <f>_xlfn.XLOOKUP(Jnl[[#This Row],[Acct]], config_BS[Acct], config_BS[Lv0],,0)</f>
        <v>LC</v>
      </c>
      <c r="L57" t="str">
        <f>_xlfn.XLOOKUP(Jnl[[#This Row],[Acct]], config_BS[Acct], config_BS[Lv1],,0)</f>
        <v>Liability</v>
      </c>
      <c r="M57" t="str">
        <f>_xlfn.XLOOKUP(Jnl[[#This Row],[Acct]], config_BS[Acct], config_BS[Lv2],,0)</f>
        <v>Rec-Pay</v>
      </c>
      <c r="N57" t="str">
        <f>_xlfn.XLOOKUP(Jnl[[#This Row],[TrxId]], Trx[Id], Trx[IncNode], ,0)</f>
        <v>Other</v>
      </c>
      <c r="O57" t="str">
        <f>_xlfn.XLOOKUP(Jnl[[#This Row],[IncNode]], config_IS[Node], config_IS[Type],,0)</f>
        <v>Non-Op</v>
      </c>
      <c r="P57" t="str">
        <f>_xlfn.XLOOKUP(Jnl[[#This Row],[BSLv2]], dict[Key], dict[Name],,0)</f>
        <v>1.应收-应付</v>
      </c>
      <c r="Q57" t="str">
        <f>_xlfn.XLOOKUP(Jnl[[#This Row],[Acct]], dict[Key], dict[Name],,0)</f>
        <v>应付-税款</v>
      </c>
      <c r="R57" t="str">
        <f>_xlfn.XLOOKUP(Jnl[[#This Row],[Vehicle]],config_vehicle[Id], config_vehicle[Name],,0)</f>
        <v>喜家文化</v>
      </c>
      <c r="S57" t="str">
        <f>_xlfn.XLOOKUP(Jnl[[#This Row],[Division]],config_div[Id], config_div[Name],,0)</f>
        <v>内控合规</v>
      </c>
      <c r="T57" t="str">
        <f>IF(Jnl[[#This Row],[TrxDate]]&lt;=stmt_BS_date_end, "In", "Out")</f>
        <v>In</v>
      </c>
      <c r="U57" t="str">
        <f>IF(Jnl[[#This Row],[TrxDate]]&lt;debug_date_start, "prior", IF(Jnl[[#This Row],[TrxDate]]&gt;debug_date_end, "post", "curr"))</f>
        <v>prior</v>
      </c>
    </row>
    <row r="58" spans="1:21">
      <c r="A58" s="10" t="s">
        <v>249</v>
      </c>
      <c r="B58" s="6">
        <f>_xlfn.XLOOKUP(Jnl[[#This Row],[TrxId]], Trx[Id], Trx[Date],,0)</f>
        <v>46022</v>
      </c>
      <c r="C58" s="6" t="str">
        <f>_xlfn.XLOOKUP(Jnl[[#This Row],[TrxId]], Trx[Id], Trx[Division],,0)</f>
        <v>Ctrl</v>
      </c>
      <c r="D58" s="6" t="str">
        <f>_xlfn.XLOOKUP(Jnl[[#This Row],[TrxId]], Trx[Id], Trx[Action],,0)</f>
        <v>结转</v>
      </c>
      <c r="E58" s="30" t="s">
        <v>83</v>
      </c>
      <c r="F58" s="10" t="s">
        <v>196</v>
      </c>
      <c r="G58" s="10" t="s">
        <v>153</v>
      </c>
      <c r="H58" s="21">
        <v>37380.69</v>
      </c>
      <c r="I58" s="4" t="b">
        <f>AND(Jnl[[#This Row],[TrxId]]&lt;&gt;"",Jnl[[#This Row],[Acct]]&lt;&gt;"",Jnl[[#This Row],[Item]]&lt;&gt;"",ISNUMBER(Jnl[[#This Row],[Bal]]))</f>
        <v>1</v>
      </c>
      <c r="J58" s="9">
        <f>IF(Jnl[[#This Row],[BSLv0]]="A",1,-1)*Jnl[[#This Row],[Bal]]</f>
        <v>-37380.69</v>
      </c>
      <c r="K58" t="str">
        <f>_xlfn.XLOOKUP(Jnl[[#This Row],[Acct]], config_BS[Acct], config_BS[Lv0],,0)</f>
        <v>LC</v>
      </c>
      <c r="L58" t="str">
        <f>_xlfn.XLOOKUP(Jnl[[#This Row],[Acct]], config_BS[Acct], config_BS[Lv1],,0)</f>
        <v>Liability</v>
      </c>
      <c r="M58" t="str">
        <f>_xlfn.XLOOKUP(Jnl[[#This Row],[Acct]], config_BS[Acct], config_BS[Lv2],,0)</f>
        <v>Rec-Pay</v>
      </c>
      <c r="N58" t="str">
        <f>_xlfn.XLOOKUP(Jnl[[#This Row],[TrxId]], Trx[Id], Trx[IncNode], ,0)</f>
        <v>Other</v>
      </c>
      <c r="O58" t="str">
        <f>_xlfn.XLOOKUP(Jnl[[#This Row],[IncNode]], config_IS[Node], config_IS[Type],,0)</f>
        <v>Non-Op</v>
      </c>
      <c r="P58" t="str">
        <f>_xlfn.XLOOKUP(Jnl[[#This Row],[BSLv2]], dict[Key], dict[Name],,0)</f>
        <v>1.应收-应付</v>
      </c>
      <c r="Q58" t="str">
        <f>_xlfn.XLOOKUP(Jnl[[#This Row],[Acct]], dict[Key], dict[Name],,0)</f>
        <v>应付-薪资</v>
      </c>
      <c r="R58" t="str">
        <f>_xlfn.XLOOKUP(Jnl[[#This Row],[Vehicle]],config_vehicle[Id], config_vehicle[Name],,0)</f>
        <v>喜家文化</v>
      </c>
      <c r="S58" t="str">
        <f>_xlfn.XLOOKUP(Jnl[[#This Row],[Division]],config_div[Id], config_div[Name],,0)</f>
        <v>内控合规</v>
      </c>
      <c r="T58" t="str">
        <f>IF(Jnl[[#This Row],[TrxDate]]&lt;=stmt_BS_date_end, "In", "Out")</f>
        <v>In</v>
      </c>
      <c r="U58" t="str">
        <f>IF(Jnl[[#This Row],[TrxDate]]&lt;debug_date_start, "prior", IF(Jnl[[#This Row],[TrxDate]]&gt;debug_date_end, "post", "curr"))</f>
        <v>prior</v>
      </c>
    </row>
    <row r="59" spans="1:21">
      <c r="A59" s="10" t="s">
        <v>249</v>
      </c>
      <c r="B59" s="6">
        <f>_xlfn.XLOOKUP(Jnl[[#This Row],[TrxId]], Trx[Id], Trx[Date],,0)</f>
        <v>46022</v>
      </c>
      <c r="C59" s="6" t="str">
        <f>_xlfn.XLOOKUP(Jnl[[#This Row],[TrxId]], Trx[Id], Trx[Division],,0)</f>
        <v>Ctrl</v>
      </c>
      <c r="D59" s="6" t="str">
        <f>_xlfn.XLOOKUP(Jnl[[#This Row],[TrxId]], Trx[Id], Trx[Action],,0)</f>
        <v>结转</v>
      </c>
      <c r="E59" s="30" t="s">
        <v>82</v>
      </c>
      <c r="F59" s="10" t="s">
        <v>130</v>
      </c>
      <c r="G59" s="10" t="s">
        <v>152</v>
      </c>
      <c r="H59" s="21">
        <v>441296.96</v>
      </c>
      <c r="I59" s="4" t="b">
        <f>AND(Jnl[[#This Row],[TrxId]]&lt;&gt;"",Jnl[[#This Row],[Acct]]&lt;&gt;"",Jnl[[#This Row],[Item]]&lt;&gt;"",ISNUMBER(Jnl[[#This Row],[Bal]]))</f>
        <v>1</v>
      </c>
      <c r="J59" s="9">
        <f>IF(Jnl[[#This Row],[BSLv0]]="A",1,-1)*Jnl[[#This Row],[Bal]]</f>
        <v>-441296.96</v>
      </c>
      <c r="K59" t="str">
        <f>_xlfn.XLOOKUP(Jnl[[#This Row],[Acct]], config_BS[Acct], config_BS[Lv0],,0)</f>
        <v>LC</v>
      </c>
      <c r="L59" t="str">
        <f>_xlfn.XLOOKUP(Jnl[[#This Row],[Acct]], config_BS[Acct], config_BS[Lv1],,0)</f>
        <v>Liability</v>
      </c>
      <c r="M59" t="str">
        <f>_xlfn.XLOOKUP(Jnl[[#This Row],[Acct]], config_BS[Acct], config_BS[Lv2],,0)</f>
        <v>Rec-Pay</v>
      </c>
      <c r="N59" t="str">
        <f>_xlfn.XLOOKUP(Jnl[[#This Row],[TrxId]], Trx[Id], Trx[IncNode], ,0)</f>
        <v>Other</v>
      </c>
      <c r="O59" t="str">
        <f>_xlfn.XLOOKUP(Jnl[[#This Row],[IncNode]], config_IS[Node], config_IS[Type],,0)</f>
        <v>Non-Op</v>
      </c>
      <c r="P59" t="str">
        <f>_xlfn.XLOOKUP(Jnl[[#This Row],[BSLv2]], dict[Key], dict[Name],,0)</f>
        <v>1.应收-应付</v>
      </c>
      <c r="Q59" t="str">
        <f>_xlfn.XLOOKUP(Jnl[[#This Row],[Acct]], dict[Key], dict[Name],,0)</f>
        <v>应付-税款</v>
      </c>
      <c r="R59" t="str">
        <f>_xlfn.XLOOKUP(Jnl[[#This Row],[Vehicle]],config_vehicle[Id], config_vehicle[Name],,0)</f>
        <v>远家花园</v>
      </c>
      <c r="S59" t="str">
        <f>_xlfn.XLOOKUP(Jnl[[#This Row],[Division]],config_div[Id], config_div[Name],,0)</f>
        <v>内控合规</v>
      </c>
      <c r="T59" t="str">
        <f>IF(Jnl[[#This Row],[TrxDate]]&lt;=stmt_BS_date_end, "In", "Out")</f>
        <v>In</v>
      </c>
      <c r="U59" t="str">
        <f>IF(Jnl[[#This Row],[TrxDate]]&lt;debug_date_start, "prior", IF(Jnl[[#This Row],[TrxDate]]&gt;debug_date_end, "post", "curr"))</f>
        <v>prior</v>
      </c>
    </row>
    <row r="60" spans="1:21">
      <c r="A60" s="10" t="s">
        <v>249</v>
      </c>
      <c r="B60" s="6">
        <f>_xlfn.XLOOKUP(Jnl[[#This Row],[TrxId]], Trx[Id], Trx[Date],,0)</f>
        <v>46022</v>
      </c>
      <c r="C60" s="6" t="str">
        <f>_xlfn.XLOOKUP(Jnl[[#This Row],[TrxId]], Trx[Id], Trx[Division],,0)</f>
        <v>Ctrl</v>
      </c>
      <c r="D60" s="6" t="str">
        <f>_xlfn.XLOOKUP(Jnl[[#This Row],[TrxId]], Trx[Id], Trx[Action],,0)</f>
        <v>结转</v>
      </c>
      <c r="E60" s="30" t="s">
        <v>82</v>
      </c>
      <c r="F60" s="10" t="s">
        <v>196</v>
      </c>
      <c r="G60" s="10" t="s">
        <v>153</v>
      </c>
      <c r="H60" s="21">
        <v>454010.9</v>
      </c>
      <c r="I60" s="4" t="b">
        <f>AND(Jnl[[#This Row],[TrxId]]&lt;&gt;"",Jnl[[#This Row],[Acct]]&lt;&gt;"",Jnl[[#This Row],[Item]]&lt;&gt;"",ISNUMBER(Jnl[[#This Row],[Bal]]))</f>
        <v>1</v>
      </c>
      <c r="J60" s="9">
        <f>IF(Jnl[[#This Row],[BSLv0]]="A",1,-1)*Jnl[[#This Row],[Bal]]</f>
        <v>-454010.9</v>
      </c>
      <c r="K60" t="str">
        <f>_xlfn.XLOOKUP(Jnl[[#This Row],[Acct]], config_BS[Acct], config_BS[Lv0],,0)</f>
        <v>LC</v>
      </c>
      <c r="L60" t="str">
        <f>_xlfn.XLOOKUP(Jnl[[#This Row],[Acct]], config_BS[Acct], config_BS[Lv1],,0)</f>
        <v>Liability</v>
      </c>
      <c r="M60" t="str">
        <f>_xlfn.XLOOKUP(Jnl[[#This Row],[Acct]], config_BS[Acct], config_BS[Lv2],,0)</f>
        <v>Rec-Pay</v>
      </c>
      <c r="N60" t="str">
        <f>_xlfn.XLOOKUP(Jnl[[#This Row],[TrxId]], Trx[Id], Trx[IncNode], ,0)</f>
        <v>Other</v>
      </c>
      <c r="O60" t="str">
        <f>_xlfn.XLOOKUP(Jnl[[#This Row],[IncNode]], config_IS[Node], config_IS[Type],,0)</f>
        <v>Non-Op</v>
      </c>
      <c r="P60" t="str">
        <f>_xlfn.XLOOKUP(Jnl[[#This Row],[BSLv2]], dict[Key], dict[Name],,0)</f>
        <v>1.应收-应付</v>
      </c>
      <c r="Q60" t="str">
        <f>_xlfn.XLOOKUP(Jnl[[#This Row],[Acct]], dict[Key], dict[Name],,0)</f>
        <v>应付-薪资</v>
      </c>
      <c r="R60" t="str">
        <f>_xlfn.XLOOKUP(Jnl[[#This Row],[Vehicle]],config_vehicle[Id], config_vehicle[Name],,0)</f>
        <v>远家花园</v>
      </c>
      <c r="S60" t="str">
        <f>_xlfn.XLOOKUP(Jnl[[#This Row],[Division]],config_div[Id], config_div[Name],,0)</f>
        <v>内控合规</v>
      </c>
      <c r="T60" t="str">
        <f>IF(Jnl[[#This Row],[TrxDate]]&lt;=stmt_BS_date_end, "In", "Out")</f>
        <v>In</v>
      </c>
      <c r="U60" t="str">
        <f>IF(Jnl[[#This Row],[TrxDate]]&lt;debug_date_start, "prior", IF(Jnl[[#This Row],[TrxDate]]&gt;debug_date_end, "post", "curr"))</f>
        <v>prior</v>
      </c>
    </row>
    <row r="61" spans="1:21">
      <c r="A61" s="10" t="s">
        <v>249</v>
      </c>
      <c r="B61" s="6">
        <f>_xlfn.XLOOKUP(Jnl[[#This Row],[TrxId]], Trx[Id], Trx[Date],,0)</f>
        <v>46022</v>
      </c>
      <c r="C61" s="6" t="str">
        <f>_xlfn.XLOOKUP(Jnl[[#This Row],[TrxId]], Trx[Id], Trx[Division],,0)</f>
        <v>Ctrl</v>
      </c>
      <c r="D61" s="6" t="str">
        <f>_xlfn.XLOOKUP(Jnl[[#This Row],[TrxId]], Trx[Id], Trx[Action],,0)</f>
        <v>结转</v>
      </c>
      <c r="E61" s="30" t="s">
        <v>109</v>
      </c>
      <c r="F61" s="10" t="s">
        <v>130</v>
      </c>
      <c r="G61" s="10" t="s">
        <v>152</v>
      </c>
      <c r="H61" s="21">
        <v>5489.66</v>
      </c>
      <c r="I61" s="4" t="b">
        <f>AND(Jnl[[#This Row],[TrxId]]&lt;&gt;"",Jnl[[#This Row],[Acct]]&lt;&gt;"",Jnl[[#This Row],[Item]]&lt;&gt;"",ISNUMBER(Jnl[[#This Row],[Bal]]))</f>
        <v>1</v>
      </c>
      <c r="J61" s="9">
        <f>IF(Jnl[[#This Row],[BSLv0]]="A",1,-1)*Jnl[[#This Row],[Bal]]</f>
        <v>-5489.66</v>
      </c>
      <c r="K61" t="str">
        <f>_xlfn.XLOOKUP(Jnl[[#This Row],[Acct]], config_BS[Acct], config_BS[Lv0],,0)</f>
        <v>LC</v>
      </c>
      <c r="L61" t="str">
        <f>_xlfn.XLOOKUP(Jnl[[#This Row],[Acct]], config_BS[Acct], config_BS[Lv1],,0)</f>
        <v>Liability</v>
      </c>
      <c r="M61" t="str">
        <f>_xlfn.XLOOKUP(Jnl[[#This Row],[Acct]], config_BS[Acct], config_BS[Lv2],,0)</f>
        <v>Rec-Pay</v>
      </c>
      <c r="N61" t="str">
        <f>_xlfn.XLOOKUP(Jnl[[#This Row],[TrxId]], Trx[Id], Trx[IncNode], ,0)</f>
        <v>Other</v>
      </c>
      <c r="O61" t="str">
        <f>_xlfn.XLOOKUP(Jnl[[#This Row],[IncNode]], config_IS[Node], config_IS[Type],,0)</f>
        <v>Non-Op</v>
      </c>
      <c r="P61" t="str">
        <f>_xlfn.XLOOKUP(Jnl[[#This Row],[BSLv2]], dict[Key], dict[Name],,0)</f>
        <v>1.应收-应付</v>
      </c>
      <c r="Q61" t="str">
        <f>_xlfn.XLOOKUP(Jnl[[#This Row],[Acct]], dict[Key], dict[Name],,0)</f>
        <v>应付-税款</v>
      </c>
      <c r="R61" t="str">
        <f>_xlfn.XLOOKUP(Jnl[[#This Row],[Vehicle]],config_vehicle[Id], config_vehicle[Name],,0)</f>
        <v>远家花园高新分公司</v>
      </c>
      <c r="S61" t="str">
        <f>_xlfn.XLOOKUP(Jnl[[#This Row],[Division]],config_div[Id], config_div[Name],,0)</f>
        <v>内控合规</v>
      </c>
      <c r="T61" t="str">
        <f>IF(Jnl[[#This Row],[TrxDate]]&lt;=stmt_BS_date_end, "In", "Out")</f>
        <v>In</v>
      </c>
      <c r="U61" t="str">
        <f>IF(Jnl[[#This Row],[TrxDate]]&lt;debug_date_start, "prior", IF(Jnl[[#This Row],[TrxDate]]&gt;debug_date_end, "post", "curr"))</f>
        <v>prior</v>
      </c>
    </row>
    <row r="62" spans="1:21">
      <c r="A62" s="10" t="s">
        <v>249</v>
      </c>
      <c r="B62" s="6">
        <f>_xlfn.XLOOKUP(Jnl[[#This Row],[TrxId]], Trx[Id], Trx[Date],,0)</f>
        <v>46022</v>
      </c>
      <c r="C62" s="6" t="str">
        <f>_xlfn.XLOOKUP(Jnl[[#This Row],[TrxId]], Trx[Id], Trx[Division],,0)</f>
        <v>Ctrl</v>
      </c>
      <c r="D62" s="6" t="str">
        <f>_xlfn.XLOOKUP(Jnl[[#This Row],[TrxId]], Trx[Id], Trx[Action],,0)</f>
        <v>结转</v>
      </c>
      <c r="E62" s="30" t="s">
        <v>109</v>
      </c>
      <c r="F62" s="10" t="s">
        <v>196</v>
      </c>
      <c r="G62" s="10" t="s">
        <v>153</v>
      </c>
      <c r="H62" s="21">
        <v>34956.620000000003</v>
      </c>
      <c r="I62" s="4" t="b">
        <f>AND(Jnl[[#This Row],[TrxId]]&lt;&gt;"",Jnl[[#This Row],[Acct]]&lt;&gt;"",Jnl[[#This Row],[Item]]&lt;&gt;"",ISNUMBER(Jnl[[#This Row],[Bal]]))</f>
        <v>1</v>
      </c>
      <c r="J62" s="9">
        <f>IF(Jnl[[#This Row],[BSLv0]]="A",1,-1)*Jnl[[#This Row],[Bal]]</f>
        <v>-34956.620000000003</v>
      </c>
      <c r="K62" t="str">
        <f>_xlfn.XLOOKUP(Jnl[[#This Row],[Acct]], config_BS[Acct], config_BS[Lv0],,0)</f>
        <v>LC</v>
      </c>
      <c r="L62" t="str">
        <f>_xlfn.XLOOKUP(Jnl[[#This Row],[Acct]], config_BS[Acct], config_BS[Lv1],,0)</f>
        <v>Liability</v>
      </c>
      <c r="M62" t="str">
        <f>_xlfn.XLOOKUP(Jnl[[#This Row],[Acct]], config_BS[Acct], config_BS[Lv2],,0)</f>
        <v>Rec-Pay</v>
      </c>
      <c r="N62" t="str">
        <f>_xlfn.XLOOKUP(Jnl[[#This Row],[TrxId]], Trx[Id], Trx[IncNode], ,0)</f>
        <v>Other</v>
      </c>
      <c r="O62" t="str">
        <f>_xlfn.XLOOKUP(Jnl[[#This Row],[IncNode]], config_IS[Node], config_IS[Type],,0)</f>
        <v>Non-Op</v>
      </c>
      <c r="P62" t="str">
        <f>_xlfn.XLOOKUP(Jnl[[#This Row],[BSLv2]], dict[Key], dict[Name],,0)</f>
        <v>1.应收-应付</v>
      </c>
      <c r="Q62" t="str">
        <f>_xlfn.XLOOKUP(Jnl[[#This Row],[Acct]], dict[Key], dict[Name],,0)</f>
        <v>应付-薪资</v>
      </c>
      <c r="R62" t="str">
        <f>_xlfn.XLOOKUP(Jnl[[#This Row],[Vehicle]],config_vehicle[Id], config_vehicle[Name],,0)</f>
        <v>远家花园高新分公司</v>
      </c>
      <c r="S62" t="str">
        <f>_xlfn.XLOOKUP(Jnl[[#This Row],[Division]],config_div[Id], config_div[Name],,0)</f>
        <v>内控合规</v>
      </c>
      <c r="T62" t="str">
        <f>IF(Jnl[[#This Row],[TrxDate]]&lt;=stmt_BS_date_end, "In", "Out")</f>
        <v>In</v>
      </c>
      <c r="U62" t="str">
        <f>IF(Jnl[[#This Row],[TrxDate]]&lt;debug_date_start, "prior", IF(Jnl[[#This Row],[TrxDate]]&gt;debug_date_end, "post", "curr"))</f>
        <v>prior</v>
      </c>
    </row>
    <row r="63" spans="1:21">
      <c r="A63" s="10" t="s">
        <v>249</v>
      </c>
      <c r="B63" s="6">
        <f>_xlfn.XLOOKUP(Jnl[[#This Row],[TrxId]], Trx[Id], Trx[Date],,0)</f>
        <v>46022</v>
      </c>
      <c r="C63" s="6" t="str">
        <f>_xlfn.XLOOKUP(Jnl[[#This Row],[TrxId]], Trx[Id], Trx[Division],,0)</f>
        <v>Ctrl</v>
      </c>
      <c r="D63" s="6" t="str">
        <f>_xlfn.XLOOKUP(Jnl[[#This Row],[TrxId]], Trx[Id], Trx[Action],,0)</f>
        <v>结转</v>
      </c>
      <c r="E63" s="30" t="s">
        <v>109</v>
      </c>
      <c r="F63" s="10" t="s">
        <v>134</v>
      </c>
      <c r="G63" s="10" t="s">
        <v>203</v>
      </c>
      <c r="H63" s="21">
        <v>2200</v>
      </c>
      <c r="I63" s="4" t="b">
        <f>AND(Jnl[[#This Row],[TrxId]]&lt;&gt;"",Jnl[[#This Row],[Acct]]&lt;&gt;"",Jnl[[#This Row],[Item]]&lt;&gt;"",ISNUMBER(Jnl[[#This Row],[Bal]]))</f>
        <v>1</v>
      </c>
      <c r="J63" s="9">
        <f>IF(Jnl[[#This Row],[BSLv0]]="A",1,-1)*Jnl[[#This Row],[Bal]]</f>
        <v>-2200</v>
      </c>
      <c r="K63" t="str">
        <f>_xlfn.XLOOKUP(Jnl[[#This Row],[Acct]], config_BS[Acct], config_BS[Lv0],,0)</f>
        <v>LC</v>
      </c>
      <c r="L63" t="str">
        <f>_xlfn.XLOOKUP(Jnl[[#This Row],[Acct]], config_BS[Acct], config_BS[Lv1],,0)</f>
        <v>Liability</v>
      </c>
      <c r="M63" t="str">
        <f>_xlfn.XLOOKUP(Jnl[[#This Row],[Acct]], config_BS[Acct], config_BS[Lv2],,0)</f>
        <v>Rec-Pay</v>
      </c>
      <c r="N63" t="str">
        <f>_xlfn.XLOOKUP(Jnl[[#This Row],[TrxId]], Trx[Id], Trx[IncNode], ,0)</f>
        <v>Other</v>
      </c>
      <c r="O63" t="str">
        <f>_xlfn.XLOOKUP(Jnl[[#This Row],[IncNode]], config_IS[Node], config_IS[Type],,0)</f>
        <v>Non-Op</v>
      </c>
      <c r="P63" t="str">
        <f>_xlfn.XLOOKUP(Jnl[[#This Row],[BSLv2]], dict[Key], dict[Name],,0)</f>
        <v>1.应收-应付</v>
      </c>
      <c r="Q63" t="str">
        <f>_xlfn.XLOOKUP(Jnl[[#This Row],[Acct]], dict[Key], dict[Name],,0)</f>
        <v>应付-其他</v>
      </c>
      <c r="R63" t="str">
        <f>_xlfn.XLOOKUP(Jnl[[#This Row],[Vehicle]],config_vehicle[Id], config_vehicle[Name],,0)</f>
        <v>远家花园高新分公司</v>
      </c>
      <c r="S63" t="str">
        <f>_xlfn.XLOOKUP(Jnl[[#This Row],[Division]],config_div[Id], config_div[Name],,0)</f>
        <v>内控合规</v>
      </c>
      <c r="T63" t="str">
        <f>IF(Jnl[[#This Row],[TrxDate]]&lt;=stmt_BS_date_end, "In", "Out")</f>
        <v>In</v>
      </c>
      <c r="U63" t="str">
        <f>IF(Jnl[[#This Row],[TrxDate]]&lt;debug_date_start, "prior", IF(Jnl[[#This Row],[TrxDate]]&gt;debug_date_end, "post", "curr"))</f>
        <v>prior</v>
      </c>
    </row>
    <row r="64" spans="1:21">
      <c r="A64" s="10" t="s">
        <v>249</v>
      </c>
      <c r="B64" s="6">
        <f>_xlfn.XLOOKUP(Jnl[[#This Row],[TrxId]], Trx[Id], Trx[Date],,0)</f>
        <v>46022</v>
      </c>
      <c r="C64" s="6" t="str">
        <f>_xlfn.XLOOKUP(Jnl[[#This Row],[TrxId]], Trx[Id], Trx[Division],,0)</f>
        <v>Ctrl</v>
      </c>
      <c r="D64" s="6" t="str">
        <f>_xlfn.XLOOKUP(Jnl[[#This Row],[TrxId]], Trx[Id], Trx[Action],,0)</f>
        <v>结转</v>
      </c>
      <c r="E64" s="30" t="s">
        <v>114</v>
      </c>
      <c r="F64" s="10" t="s">
        <v>130</v>
      </c>
      <c r="G64" s="10" t="s">
        <v>152</v>
      </c>
      <c r="H64" s="21">
        <v>15725.69</v>
      </c>
      <c r="I64" s="4" t="b">
        <f>AND(Jnl[[#This Row],[TrxId]]&lt;&gt;"",Jnl[[#This Row],[Acct]]&lt;&gt;"",Jnl[[#This Row],[Item]]&lt;&gt;"",ISNUMBER(Jnl[[#This Row],[Bal]]))</f>
        <v>1</v>
      </c>
      <c r="J64" s="9">
        <f>IF(Jnl[[#This Row],[BSLv0]]="A",1,-1)*Jnl[[#This Row],[Bal]]</f>
        <v>-15725.69</v>
      </c>
      <c r="K64" t="str">
        <f>_xlfn.XLOOKUP(Jnl[[#This Row],[Acct]], config_BS[Acct], config_BS[Lv0],,0)</f>
        <v>LC</v>
      </c>
      <c r="L64" t="str">
        <f>_xlfn.XLOOKUP(Jnl[[#This Row],[Acct]], config_BS[Acct], config_BS[Lv1],,0)</f>
        <v>Liability</v>
      </c>
      <c r="M64" t="str">
        <f>_xlfn.XLOOKUP(Jnl[[#This Row],[Acct]], config_BS[Acct], config_BS[Lv2],,0)</f>
        <v>Rec-Pay</v>
      </c>
      <c r="N64" t="str">
        <f>_xlfn.XLOOKUP(Jnl[[#This Row],[TrxId]], Trx[Id], Trx[IncNode], ,0)</f>
        <v>Other</v>
      </c>
      <c r="O64" t="str">
        <f>_xlfn.XLOOKUP(Jnl[[#This Row],[IncNode]], config_IS[Node], config_IS[Type],,0)</f>
        <v>Non-Op</v>
      </c>
      <c r="P64" t="str">
        <f>_xlfn.XLOOKUP(Jnl[[#This Row],[BSLv2]], dict[Key], dict[Name],,0)</f>
        <v>1.应收-应付</v>
      </c>
      <c r="Q64" t="str">
        <f>_xlfn.XLOOKUP(Jnl[[#This Row],[Acct]], dict[Key], dict[Name],,0)</f>
        <v>应付-税款</v>
      </c>
      <c r="R64" t="str">
        <f>_xlfn.XLOOKUP(Jnl[[#This Row],[Vehicle]],config_vehicle[Id], config_vehicle[Name],,0)</f>
        <v>染匠文化</v>
      </c>
      <c r="S64" t="str">
        <f>_xlfn.XLOOKUP(Jnl[[#This Row],[Division]],config_div[Id], config_div[Name],,0)</f>
        <v>内控合规</v>
      </c>
      <c r="T64" t="str">
        <f>IF(Jnl[[#This Row],[TrxDate]]&lt;=stmt_BS_date_end, "In", "Out")</f>
        <v>In</v>
      </c>
      <c r="U64" t="str">
        <f>IF(Jnl[[#This Row],[TrxDate]]&lt;debug_date_start, "prior", IF(Jnl[[#This Row],[TrxDate]]&gt;debug_date_end, "post", "curr"))</f>
        <v>prior</v>
      </c>
    </row>
    <row r="65" spans="1:21">
      <c r="A65" s="10" t="s">
        <v>249</v>
      </c>
      <c r="B65" s="6">
        <f>_xlfn.XLOOKUP(Jnl[[#This Row],[TrxId]], Trx[Id], Trx[Date],,0)</f>
        <v>46022</v>
      </c>
      <c r="C65" s="6" t="str">
        <f>_xlfn.XLOOKUP(Jnl[[#This Row],[TrxId]], Trx[Id], Trx[Division],,0)</f>
        <v>Ctrl</v>
      </c>
      <c r="D65" s="6" t="str">
        <f>_xlfn.XLOOKUP(Jnl[[#This Row],[TrxId]], Trx[Id], Trx[Action],,0)</f>
        <v>结转</v>
      </c>
      <c r="E65" s="30" t="s">
        <v>114</v>
      </c>
      <c r="F65" s="10" t="s">
        <v>196</v>
      </c>
      <c r="G65" s="10" t="s">
        <v>153</v>
      </c>
      <c r="H65" s="21">
        <v>33541.86</v>
      </c>
      <c r="I65" s="4" t="b">
        <f>AND(Jnl[[#This Row],[TrxId]]&lt;&gt;"",Jnl[[#This Row],[Acct]]&lt;&gt;"",Jnl[[#This Row],[Item]]&lt;&gt;"",ISNUMBER(Jnl[[#This Row],[Bal]]))</f>
        <v>1</v>
      </c>
      <c r="J65" s="9">
        <f>IF(Jnl[[#This Row],[BSLv0]]="A",1,-1)*Jnl[[#This Row],[Bal]]</f>
        <v>-33541.86</v>
      </c>
      <c r="K65" t="str">
        <f>_xlfn.XLOOKUP(Jnl[[#This Row],[Acct]], config_BS[Acct], config_BS[Lv0],,0)</f>
        <v>LC</v>
      </c>
      <c r="L65" t="str">
        <f>_xlfn.XLOOKUP(Jnl[[#This Row],[Acct]], config_BS[Acct], config_BS[Lv1],,0)</f>
        <v>Liability</v>
      </c>
      <c r="M65" t="str">
        <f>_xlfn.XLOOKUP(Jnl[[#This Row],[Acct]], config_BS[Acct], config_BS[Lv2],,0)</f>
        <v>Rec-Pay</v>
      </c>
      <c r="N65" t="str">
        <f>_xlfn.XLOOKUP(Jnl[[#This Row],[TrxId]], Trx[Id], Trx[IncNode], ,0)</f>
        <v>Other</v>
      </c>
      <c r="O65" t="str">
        <f>_xlfn.XLOOKUP(Jnl[[#This Row],[IncNode]], config_IS[Node], config_IS[Type],,0)</f>
        <v>Non-Op</v>
      </c>
      <c r="P65" t="str">
        <f>_xlfn.XLOOKUP(Jnl[[#This Row],[BSLv2]], dict[Key], dict[Name],,0)</f>
        <v>1.应收-应付</v>
      </c>
      <c r="Q65" t="str">
        <f>_xlfn.XLOOKUP(Jnl[[#This Row],[Acct]], dict[Key], dict[Name],,0)</f>
        <v>应付-薪资</v>
      </c>
      <c r="R65" t="str">
        <f>_xlfn.XLOOKUP(Jnl[[#This Row],[Vehicle]],config_vehicle[Id], config_vehicle[Name],,0)</f>
        <v>染匠文化</v>
      </c>
      <c r="S65" t="str">
        <f>_xlfn.XLOOKUP(Jnl[[#This Row],[Division]],config_div[Id], config_div[Name],,0)</f>
        <v>内控合规</v>
      </c>
      <c r="T65" t="str">
        <f>IF(Jnl[[#This Row],[TrxDate]]&lt;=stmt_BS_date_end, "In", "Out")</f>
        <v>In</v>
      </c>
      <c r="U65" t="str">
        <f>IF(Jnl[[#This Row],[TrxDate]]&lt;debug_date_start, "prior", IF(Jnl[[#This Row],[TrxDate]]&gt;debug_date_end, "post", "curr"))</f>
        <v>prior</v>
      </c>
    </row>
    <row r="66" spans="1:21">
      <c r="A66" s="10" t="s">
        <v>249</v>
      </c>
      <c r="B66" s="6">
        <f>_xlfn.XLOOKUP(Jnl[[#This Row],[TrxId]], Trx[Id], Trx[Date],,0)</f>
        <v>46022</v>
      </c>
      <c r="C66" s="6" t="str">
        <f>_xlfn.XLOOKUP(Jnl[[#This Row],[TrxId]], Trx[Id], Trx[Division],,0)</f>
        <v>Ctrl</v>
      </c>
      <c r="D66" s="6" t="str">
        <f>_xlfn.XLOOKUP(Jnl[[#This Row],[TrxId]], Trx[Id], Trx[Action],,0)</f>
        <v>结转</v>
      </c>
      <c r="E66" s="30" t="s">
        <v>86</v>
      </c>
      <c r="F66" s="10" t="s">
        <v>130</v>
      </c>
      <c r="G66" s="10" t="s">
        <v>152</v>
      </c>
      <c r="H66" s="21">
        <v>42232.84</v>
      </c>
      <c r="I66" s="4" t="b">
        <f>AND(Jnl[[#This Row],[TrxId]]&lt;&gt;"",Jnl[[#This Row],[Acct]]&lt;&gt;"",Jnl[[#This Row],[Item]]&lt;&gt;"",ISNUMBER(Jnl[[#This Row],[Bal]]))</f>
        <v>1</v>
      </c>
      <c r="J66" s="9">
        <f>IF(Jnl[[#This Row],[BSLv0]]="A",1,-1)*Jnl[[#This Row],[Bal]]</f>
        <v>-42232.84</v>
      </c>
      <c r="K66" t="str">
        <f>_xlfn.XLOOKUP(Jnl[[#This Row],[Acct]], config_BS[Acct], config_BS[Lv0],,0)</f>
        <v>LC</v>
      </c>
      <c r="L66" t="str">
        <f>_xlfn.XLOOKUP(Jnl[[#This Row],[Acct]], config_BS[Acct], config_BS[Lv1],,0)</f>
        <v>Liability</v>
      </c>
      <c r="M66" t="str">
        <f>_xlfn.XLOOKUP(Jnl[[#This Row],[Acct]], config_BS[Acct], config_BS[Lv2],,0)</f>
        <v>Rec-Pay</v>
      </c>
      <c r="N66" t="str">
        <f>_xlfn.XLOOKUP(Jnl[[#This Row],[TrxId]], Trx[Id], Trx[IncNode], ,0)</f>
        <v>Other</v>
      </c>
      <c r="O66" t="str">
        <f>_xlfn.XLOOKUP(Jnl[[#This Row],[IncNode]], config_IS[Node], config_IS[Type],,0)</f>
        <v>Non-Op</v>
      </c>
      <c r="P66" t="str">
        <f>_xlfn.XLOOKUP(Jnl[[#This Row],[BSLv2]], dict[Key], dict[Name],,0)</f>
        <v>1.应收-应付</v>
      </c>
      <c r="Q66" t="str">
        <f>_xlfn.XLOOKUP(Jnl[[#This Row],[Acct]], dict[Key], dict[Name],,0)</f>
        <v>应付-税款</v>
      </c>
      <c r="R66" t="str">
        <f>_xlfn.XLOOKUP(Jnl[[#This Row],[Vehicle]],config_vehicle[Id], config_vehicle[Name],,0)</f>
        <v>榆乐</v>
      </c>
      <c r="S66" t="str">
        <f>_xlfn.XLOOKUP(Jnl[[#This Row],[Division]],config_div[Id], config_div[Name],,0)</f>
        <v>内控合规</v>
      </c>
      <c r="T66" t="str">
        <f>IF(Jnl[[#This Row],[TrxDate]]&lt;=stmt_BS_date_end, "In", "Out")</f>
        <v>In</v>
      </c>
      <c r="U66" t="str">
        <f>IF(Jnl[[#This Row],[TrxDate]]&lt;debug_date_start, "prior", IF(Jnl[[#This Row],[TrxDate]]&gt;debug_date_end, "post", "curr"))</f>
        <v>prior</v>
      </c>
    </row>
    <row r="67" spans="1:21">
      <c r="A67" s="10" t="s">
        <v>249</v>
      </c>
      <c r="B67" s="6">
        <f>_xlfn.XLOOKUP(Jnl[[#This Row],[TrxId]], Trx[Id], Trx[Date],,0)</f>
        <v>46022</v>
      </c>
      <c r="C67" s="6" t="str">
        <f>_xlfn.XLOOKUP(Jnl[[#This Row],[TrxId]], Trx[Id], Trx[Division],,0)</f>
        <v>Ctrl</v>
      </c>
      <c r="D67" s="6" t="str">
        <f>_xlfn.XLOOKUP(Jnl[[#This Row],[TrxId]], Trx[Id], Trx[Action],,0)</f>
        <v>结转</v>
      </c>
      <c r="E67" s="30" t="s">
        <v>86</v>
      </c>
      <c r="F67" s="10" t="s">
        <v>196</v>
      </c>
      <c r="G67" s="10" t="s">
        <v>153</v>
      </c>
      <c r="H67" s="21">
        <v>76031.259999999995</v>
      </c>
      <c r="I67" s="4" t="b">
        <f>AND(Jnl[[#This Row],[TrxId]]&lt;&gt;"",Jnl[[#This Row],[Acct]]&lt;&gt;"",Jnl[[#This Row],[Item]]&lt;&gt;"",ISNUMBER(Jnl[[#This Row],[Bal]]))</f>
        <v>1</v>
      </c>
      <c r="J67" s="9">
        <f>IF(Jnl[[#This Row],[BSLv0]]="A",1,-1)*Jnl[[#This Row],[Bal]]</f>
        <v>-76031.259999999995</v>
      </c>
      <c r="K67" t="str">
        <f>_xlfn.XLOOKUP(Jnl[[#This Row],[Acct]], config_BS[Acct], config_BS[Lv0],,0)</f>
        <v>LC</v>
      </c>
      <c r="L67" t="str">
        <f>_xlfn.XLOOKUP(Jnl[[#This Row],[Acct]], config_BS[Acct], config_BS[Lv1],,0)</f>
        <v>Liability</v>
      </c>
      <c r="M67" t="str">
        <f>_xlfn.XLOOKUP(Jnl[[#This Row],[Acct]], config_BS[Acct], config_BS[Lv2],,0)</f>
        <v>Rec-Pay</v>
      </c>
      <c r="N67" t="str">
        <f>_xlfn.XLOOKUP(Jnl[[#This Row],[TrxId]], Trx[Id], Trx[IncNode], ,0)</f>
        <v>Other</v>
      </c>
      <c r="O67" t="str">
        <f>_xlfn.XLOOKUP(Jnl[[#This Row],[IncNode]], config_IS[Node], config_IS[Type],,0)</f>
        <v>Non-Op</v>
      </c>
      <c r="P67" t="str">
        <f>_xlfn.XLOOKUP(Jnl[[#This Row],[BSLv2]], dict[Key], dict[Name],,0)</f>
        <v>1.应收-应付</v>
      </c>
      <c r="Q67" t="str">
        <f>_xlfn.XLOOKUP(Jnl[[#This Row],[Acct]], dict[Key], dict[Name],,0)</f>
        <v>应付-薪资</v>
      </c>
      <c r="R67" t="str">
        <f>_xlfn.XLOOKUP(Jnl[[#This Row],[Vehicle]],config_vehicle[Id], config_vehicle[Name],,0)</f>
        <v>榆乐</v>
      </c>
      <c r="S67" t="str">
        <f>_xlfn.XLOOKUP(Jnl[[#This Row],[Division]],config_div[Id], config_div[Name],,0)</f>
        <v>内控合规</v>
      </c>
      <c r="T67" t="str">
        <f>IF(Jnl[[#This Row],[TrxDate]]&lt;=stmt_BS_date_end, "In", "Out")</f>
        <v>In</v>
      </c>
      <c r="U67" t="str">
        <f>IF(Jnl[[#This Row],[TrxDate]]&lt;debug_date_start, "prior", IF(Jnl[[#This Row],[TrxDate]]&gt;debug_date_end, "post", "curr"))</f>
        <v>prior</v>
      </c>
    </row>
    <row r="68" spans="1:21">
      <c r="A68" s="10" t="s">
        <v>249</v>
      </c>
      <c r="B68" s="6">
        <f>_xlfn.XLOOKUP(Jnl[[#This Row],[TrxId]], Trx[Id], Trx[Date],,0)</f>
        <v>46022</v>
      </c>
      <c r="C68" s="6" t="str">
        <f>_xlfn.XLOOKUP(Jnl[[#This Row],[TrxId]], Trx[Id], Trx[Division],,0)</f>
        <v>Ctrl</v>
      </c>
      <c r="D68" s="6" t="str">
        <f>_xlfn.XLOOKUP(Jnl[[#This Row],[TrxId]], Trx[Id], Trx[Action],,0)</f>
        <v>结转</v>
      </c>
      <c r="E68" s="30" t="s">
        <v>87</v>
      </c>
      <c r="F68" s="10" t="s">
        <v>130</v>
      </c>
      <c r="G68" s="10" t="s">
        <v>317</v>
      </c>
      <c r="H68" s="21">
        <v>40000</v>
      </c>
      <c r="I68" s="4" t="b">
        <f>AND(Jnl[[#This Row],[TrxId]]&lt;&gt;"",Jnl[[#This Row],[Acct]]&lt;&gt;"",Jnl[[#This Row],[Item]]&lt;&gt;"",ISNUMBER(Jnl[[#This Row],[Bal]]))</f>
        <v>1</v>
      </c>
      <c r="J68" s="9">
        <f>IF(Jnl[[#This Row],[BSLv0]]="A",1,-1)*Jnl[[#This Row],[Bal]]</f>
        <v>-40000</v>
      </c>
      <c r="K68" t="str">
        <f>_xlfn.XLOOKUP(Jnl[[#This Row],[Acct]], config_BS[Acct], config_BS[Lv0],,0)</f>
        <v>LC</v>
      </c>
      <c r="L68" t="str">
        <f>_xlfn.XLOOKUP(Jnl[[#This Row],[Acct]], config_BS[Acct], config_BS[Lv1],,0)</f>
        <v>Liability</v>
      </c>
      <c r="M68" t="str">
        <f>_xlfn.XLOOKUP(Jnl[[#This Row],[Acct]], config_BS[Acct], config_BS[Lv2],,0)</f>
        <v>Rec-Pay</v>
      </c>
      <c r="N68" t="str">
        <f>_xlfn.XLOOKUP(Jnl[[#This Row],[TrxId]], Trx[Id], Trx[IncNode], ,0)</f>
        <v>Other</v>
      </c>
      <c r="O68" t="str">
        <f>_xlfn.XLOOKUP(Jnl[[#This Row],[IncNode]], config_IS[Node], config_IS[Type],,0)</f>
        <v>Non-Op</v>
      </c>
      <c r="P68" t="str">
        <f>_xlfn.XLOOKUP(Jnl[[#This Row],[BSLv2]], dict[Key], dict[Name],,0)</f>
        <v>1.应收-应付</v>
      </c>
      <c r="Q68" t="str">
        <f>_xlfn.XLOOKUP(Jnl[[#This Row],[Acct]], dict[Key], dict[Name],,0)</f>
        <v>应付-税款</v>
      </c>
      <c r="R68" t="str">
        <f>_xlfn.XLOOKUP(Jnl[[#This Row],[Vehicle]],config_vehicle[Id], config_vehicle[Name],,0)</f>
        <v>桑木</v>
      </c>
      <c r="S68" t="str">
        <f>_xlfn.XLOOKUP(Jnl[[#This Row],[Division]],config_div[Id], config_div[Name],,0)</f>
        <v>内控合规</v>
      </c>
      <c r="T68" t="str">
        <f>IF(Jnl[[#This Row],[TrxDate]]&lt;=stmt_BS_date_end, "In", "Out")</f>
        <v>In</v>
      </c>
      <c r="U68" t="str">
        <f>IF(Jnl[[#This Row],[TrxDate]]&lt;debug_date_start, "prior", IF(Jnl[[#This Row],[TrxDate]]&gt;debug_date_end, "post", "curr"))</f>
        <v>prior</v>
      </c>
    </row>
    <row r="69" spans="1:21">
      <c r="A69" s="10" t="s">
        <v>249</v>
      </c>
      <c r="B69" s="6">
        <f>_xlfn.XLOOKUP(Jnl[[#This Row],[TrxId]], Trx[Id], Trx[Date],,0)</f>
        <v>46022</v>
      </c>
      <c r="C69" s="6" t="str">
        <f>_xlfn.XLOOKUP(Jnl[[#This Row],[TrxId]], Trx[Id], Trx[Division],,0)</f>
        <v>Ctrl</v>
      </c>
      <c r="D69" s="6" t="str">
        <f>_xlfn.XLOOKUP(Jnl[[#This Row],[TrxId]], Trx[Id], Trx[Action],,0)</f>
        <v>结转</v>
      </c>
      <c r="E69" s="30" t="s">
        <v>87</v>
      </c>
      <c r="F69" s="10" t="s">
        <v>130</v>
      </c>
      <c r="G69" s="10" t="s">
        <v>316</v>
      </c>
      <c r="H69" s="21">
        <v>20527.259999999998</v>
      </c>
      <c r="I69" s="11" t="b">
        <f>AND(Jnl[[#This Row],[TrxId]]&lt;&gt;"",Jnl[[#This Row],[Acct]]&lt;&gt;"",Jnl[[#This Row],[Item]]&lt;&gt;"",ISNUMBER(Jnl[[#This Row],[Bal]]))</f>
        <v>1</v>
      </c>
      <c r="J69" s="9">
        <f>IF(Jnl[[#This Row],[BSLv0]]="A",1,-1)*Jnl[[#This Row],[Bal]]</f>
        <v>-20527.259999999998</v>
      </c>
      <c r="K69" t="str">
        <f>_xlfn.XLOOKUP(Jnl[[#This Row],[Acct]], config_BS[Acct], config_BS[Lv0],,0)</f>
        <v>LC</v>
      </c>
      <c r="L69" t="str">
        <f>_xlfn.XLOOKUP(Jnl[[#This Row],[Acct]], config_BS[Acct], config_BS[Lv1],,0)</f>
        <v>Liability</v>
      </c>
      <c r="M69" t="str">
        <f>_xlfn.XLOOKUP(Jnl[[#This Row],[Acct]], config_BS[Acct], config_BS[Lv2],,0)</f>
        <v>Rec-Pay</v>
      </c>
      <c r="N69" t="str">
        <f>_xlfn.XLOOKUP(Jnl[[#This Row],[TrxId]], Trx[Id], Trx[IncNode], ,0)</f>
        <v>Other</v>
      </c>
      <c r="O69" t="str">
        <f>_xlfn.XLOOKUP(Jnl[[#This Row],[IncNode]], config_IS[Node], config_IS[Type],,0)</f>
        <v>Non-Op</v>
      </c>
      <c r="P69" s="42" t="str">
        <f>_xlfn.XLOOKUP(Jnl[[#This Row],[BSLv2]], dict[Key], dict[Name],,0)</f>
        <v>1.应收-应付</v>
      </c>
      <c r="Q69" s="42" t="str">
        <f>_xlfn.XLOOKUP(Jnl[[#This Row],[Acct]], dict[Key], dict[Name],,0)</f>
        <v>应付-税款</v>
      </c>
      <c r="R69" s="42" t="str">
        <f>_xlfn.XLOOKUP(Jnl[[#This Row],[Vehicle]],config_vehicle[Id], config_vehicle[Name],,0)</f>
        <v>桑木</v>
      </c>
      <c r="S69" s="42" t="str">
        <f>_xlfn.XLOOKUP(Jnl[[#This Row],[Division]],config_div[Id], config_div[Name],,0)</f>
        <v>内控合规</v>
      </c>
      <c r="T69" s="42" t="str">
        <f>IF(Jnl[[#This Row],[TrxDate]]&lt;=stmt_BS_date_end, "In", "Out")</f>
        <v>In</v>
      </c>
      <c r="U69" s="42" t="str">
        <f>IF(Jnl[[#This Row],[TrxDate]]&lt;debug_date_start, "prior", IF(Jnl[[#This Row],[TrxDate]]&gt;debug_date_end, "post", "curr"))</f>
        <v>prior</v>
      </c>
    </row>
    <row r="70" spans="1:21">
      <c r="A70" s="10" t="s">
        <v>249</v>
      </c>
      <c r="B70" s="6">
        <f>_xlfn.XLOOKUP(Jnl[[#This Row],[TrxId]], Trx[Id], Trx[Date],,0)</f>
        <v>46022</v>
      </c>
      <c r="C70" s="6" t="str">
        <f>_xlfn.XLOOKUP(Jnl[[#This Row],[TrxId]], Trx[Id], Trx[Division],,0)</f>
        <v>Ctrl</v>
      </c>
      <c r="D70" s="6" t="str">
        <f>_xlfn.XLOOKUP(Jnl[[#This Row],[TrxId]], Trx[Id], Trx[Action],,0)</f>
        <v>结转</v>
      </c>
      <c r="E70" s="30" t="s">
        <v>87</v>
      </c>
      <c r="F70" s="10" t="s">
        <v>130</v>
      </c>
      <c r="G70" s="41" t="s">
        <v>297</v>
      </c>
      <c r="H70" s="21">
        <v>15935.56</v>
      </c>
      <c r="I70" s="11" t="b">
        <f>AND(Jnl[[#This Row],[TrxId]]&lt;&gt;"",Jnl[[#This Row],[Acct]]&lt;&gt;"",Jnl[[#This Row],[Item]]&lt;&gt;"",ISNUMBER(Jnl[[#This Row],[Bal]]))</f>
        <v>1</v>
      </c>
      <c r="J70" s="9">
        <f>IF(Jnl[[#This Row],[BSLv0]]="A",1,-1)*Jnl[[#This Row],[Bal]]</f>
        <v>-15935.56</v>
      </c>
      <c r="K70" t="str">
        <f>_xlfn.XLOOKUP(Jnl[[#This Row],[Acct]], config_BS[Acct], config_BS[Lv0],,0)</f>
        <v>LC</v>
      </c>
      <c r="L70" t="str">
        <f>_xlfn.XLOOKUP(Jnl[[#This Row],[Acct]], config_BS[Acct], config_BS[Lv1],,0)</f>
        <v>Liability</v>
      </c>
      <c r="M70" t="str">
        <f>_xlfn.XLOOKUP(Jnl[[#This Row],[Acct]], config_BS[Acct], config_BS[Lv2],,0)</f>
        <v>Rec-Pay</v>
      </c>
      <c r="N70" t="str">
        <f>_xlfn.XLOOKUP(Jnl[[#This Row],[TrxId]], Trx[Id], Trx[IncNode], ,0)</f>
        <v>Other</v>
      </c>
      <c r="O70" t="str">
        <f>_xlfn.XLOOKUP(Jnl[[#This Row],[IncNode]], config_IS[Node], config_IS[Type],,0)</f>
        <v>Non-Op</v>
      </c>
      <c r="P70" s="42" t="str">
        <f>_xlfn.XLOOKUP(Jnl[[#This Row],[BSLv2]], dict[Key], dict[Name],,0)</f>
        <v>1.应收-应付</v>
      </c>
      <c r="Q70" s="42" t="str">
        <f>_xlfn.XLOOKUP(Jnl[[#This Row],[Acct]], dict[Key], dict[Name],,0)</f>
        <v>应付-税款</v>
      </c>
      <c r="R70" s="42" t="str">
        <f>_xlfn.XLOOKUP(Jnl[[#This Row],[Vehicle]],config_vehicle[Id], config_vehicle[Name],,0)</f>
        <v>桑木</v>
      </c>
      <c r="S70" s="42" t="str">
        <f>_xlfn.XLOOKUP(Jnl[[#This Row],[Division]],config_div[Id], config_div[Name],,0)</f>
        <v>内控合规</v>
      </c>
      <c r="T70" s="42" t="str">
        <f>IF(Jnl[[#This Row],[TrxDate]]&lt;=stmt_BS_date_end, "In", "Out")</f>
        <v>In</v>
      </c>
      <c r="U70" s="42" t="str">
        <f>IF(Jnl[[#This Row],[TrxDate]]&lt;debug_date_start, "prior", IF(Jnl[[#This Row],[TrxDate]]&gt;debug_date_end, "post", "curr"))</f>
        <v>prior</v>
      </c>
    </row>
    <row r="71" spans="1:21">
      <c r="A71" s="10" t="s">
        <v>249</v>
      </c>
      <c r="B71" s="6">
        <f>_xlfn.XLOOKUP(Jnl[[#This Row],[TrxId]], Trx[Id], Trx[Date],,0)</f>
        <v>46022</v>
      </c>
      <c r="C71" s="6" t="str">
        <f>_xlfn.XLOOKUP(Jnl[[#This Row],[TrxId]], Trx[Id], Trx[Division],,0)</f>
        <v>Ctrl</v>
      </c>
      <c r="D71" s="6" t="str">
        <f>_xlfn.XLOOKUP(Jnl[[#This Row],[TrxId]], Trx[Id], Trx[Action],,0)</f>
        <v>结转</v>
      </c>
      <c r="E71" s="30" t="s">
        <v>87</v>
      </c>
      <c r="F71" s="10" t="s">
        <v>130</v>
      </c>
      <c r="G71" s="41" t="s">
        <v>318</v>
      </c>
      <c r="H71" s="21">
        <v>1309.8399999999999</v>
      </c>
      <c r="I71" s="11" t="b">
        <f>AND(Jnl[[#This Row],[TrxId]]&lt;&gt;"",Jnl[[#This Row],[Acct]]&lt;&gt;"",Jnl[[#This Row],[Item]]&lt;&gt;"",ISNUMBER(Jnl[[#This Row],[Bal]]))</f>
        <v>1</v>
      </c>
      <c r="J71" s="9">
        <f>IF(Jnl[[#This Row],[BSLv0]]="A",1,-1)*Jnl[[#This Row],[Bal]]</f>
        <v>-1309.8399999999999</v>
      </c>
      <c r="K71" t="str">
        <f>_xlfn.XLOOKUP(Jnl[[#This Row],[Acct]], config_BS[Acct], config_BS[Lv0],,0)</f>
        <v>LC</v>
      </c>
      <c r="L71" t="str">
        <f>_xlfn.XLOOKUP(Jnl[[#This Row],[Acct]], config_BS[Acct], config_BS[Lv1],,0)</f>
        <v>Liability</v>
      </c>
      <c r="M71" t="str">
        <f>_xlfn.XLOOKUP(Jnl[[#This Row],[Acct]], config_BS[Acct], config_BS[Lv2],,0)</f>
        <v>Rec-Pay</v>
      </c>
      <c r="N71" t="str">
        <f>_xlfn.XLOOKUP(Jnl[[#This Row],[TrxId]], Trx[Id], Trx[IncNode], ,0)</f>
        <v>Other</v>
      </c>
      <c r="O71" t="str">
        <f>_xlfn.XLOOKUP(Jnl[[#This Row],[IncNode]], config_IS[Node], config_IS[Type],,0)</f>
        <v>Non-Op</v>
      </c>
      <c r="P71" s="42" t="str">
        <f>_xlfn.XLOOKUP(Jnl[[#This Row],[BSLv2]], dict[Key], dict[Name],,0)</f>
        <v>1.应收-应付</v>
      </c>
      <c r="Q71" s="42" t="str">
        <f>_xlfn.XLOOKUP(Jnl[[#This Row],[Acct]], dict[Key], dict[Name],,0)</f>
        <v>应付-税款</v>
      </c>
      <c r="R71" s="42" t="str">
        <f>_xlfn.XLOOKUP(Jnl[[#This Row],[Vehicle]],config_vehicle[Id], config_vehicle[Name],,0)</f>
        <v>桑木</v>
      </c>
      <c r="S71" s="42" t="str">
        <f>_xlfn.XLOOKUP(Jnl[[#This Row],[Division]],config_div[Id], config_div[Name],,0)</f>
        <v>内控合规</v>
      </c>
      <c r="T71" s="42" t="str">
        <f>IF(Jnl[[#This Row],[TrxDate]]&lt;=stmt_BS_date_end, "In", "Out")</f>
        <v>In</v>
      </c>
      <c r="U71" s="42" t="str">
        <f>IF(Jnl[[#This Row],[TrxDate]]&lt;debug_date_start, "prior", IF(Jnl[[#This Row],[TrxDate]]&gt;debug_date_end, "post", "curr"))</f>
        <v>prior</v>
      </c>
    </row>
    <row r="72" spans="1:21">
      <c r="A72" s="10" t="s">
        <v>249</v>
      </c>
      <c r="B72" s="6">
        <f>_xlfn.XLOOKUP(Jnl[[#This Row],[TrxId]], Trx[Id], Trx[Date],,0)</f>
        <v>46022</v>
      </c>
      <c r="C72" s="6" t="str">
        <f>_xlfn.XLOOKUP(Jnl[[#This Row],[TrxId]], Trx[Id], Trx[Division],,0)</f>
        <v>Ctrl</v>
      </c>
      <c r="D72" s="6" t="str">
        <f>_xlfn.XLOOKUP(Jnl[[#This Row],[TrxId]], Trx[Id], Trx[Action],,0)</f>
        <v>结转</v>
      </c>
      <c r="E72" s="30" t="s">
        <v>87</v>
      </c>
      <c r="F72" s="10" t="s">
        <v>196</v>
      </c>
      <c r="G72" s="10" t="s">
        <v>153</v>
      </c>
      <c r="H72" s="21">
        <v>18440</v>
      </c>
      <c r="I72" s="4" t="b">
        <f>AND(Jnl[[#This Row],[TrxId]]&lt;&gt;"",Jnl[[#This Row],[Acct]]&lt;&gt;"",Jnl[[#This Row],[Item]]&lt;&gt;"",ISNUMBER(Jnl[[#This Row],[Bal]]))</f>
        <v>1</v>
      </c>
      <c r="J72" s="9">
        <f>IF(Jnl[[#This Row],[BSLv0]]="A",1,-1)*Jnl[[#This Row],[Bal]]</f>
        <v>-18440</v>
      </c>
      <c r="K72" t="str">
        <f>_xlfn.XLOOKUP(Jnl[[#This Row],[Acct]], config_BS[Acct], config_BS[Lv0],,0)</f>
        <v>LC</v>
      </c>
      <c r="L72" t="str">
        <f>_xlfn.XLOOKUP(Jnl[[#This Row],[Acct]], config_BS[Acct], config_BS[Lv1],,0)</f>
        <v>Liability</v>
      </c>
      <c r="M72" t="str">
        <f>_xlfn.XLOOKUP(Jnl[[#This Row],[Acct]], config_BS[Acct], config_BS[Lv2],,0)</f>
        <v>Rec-Pay</v>
      </c>
      <c r="N72" t="str">
        <f>_xlfn.XLOOKUP(Jnl[[#This Row],[TrxId]], Trx[Id], Trx[IncNode], ,0)</f>
        <v>Other</v>
      </c>
      <c r="O72" t="str">
        <f>_xlfn.XLOOKUP(Jnl[[#This Row],[IncNode]], config_IS[Node], config_IS[Type],,0)</f>
        <v>Non-Op</v>
      </c>
      <c r="P72" t="str">
        <f>_xlfn.XLOOKUP(Jnl[[#This Row],[BSLv2]], dict[Key], dict[Name],,0)</f>
        <v>1.应收-应付</v>
      </c>
      <c r="Q72" t="str">
        <f>_xlfn.XLOOKUP(Jnl[[#This Row],[Acct]], dict[Key], dict[Name],,0)</f>
        <v>应付-薪资</v>
      </c>
      <c r="R72" t="str">
        <f>_xlfn.XLOOKUP(Jnl[[#This Row],[Vehicle]],config_vehicle[Id], config_vehicle[Name],,0)</f>
        <v>桑木</v>
      </c>
      <c r="S72" t="str">
        <f>_xlfn.XLOOKUP(Jnl[[#This Row],[Division]],config_div[Id], config_div[Name],,0)</f>
        <v>内控合规</v>
      </c>
      <c r="T72" t="str">
        <f>IF(Jnl[[#This Row],[TrxDate]]&lt;=stmt_BS_date_end, "In", "Out")</f>
        <v>In</v>
      </c>
      <c r="U72" t="str">
        <f>IF(Jnl[[#This Row],[TrxDate]]&lt;debug_date_start, "prior", IF(Jnl[[#This Row],[TrxDate]]&gt;debug_date_end, "post", "curr"))</f>
        <v>prior</v>
      </c>
    </row>
    <row r="73" spans="1:21">
      <c r="A73" s="10" t="s">
        <v>249</v>
      </c>
      <c r="B73" s="6">
        <f>_xlfn.XLOOKUP(Jnl[[#This Row],[TrxId]], Trx[Id], Trx[Date],,0)</f>
        <v>46022</v>
      </c>
      <c r="C73" s="6" t="str">
        <f>_xlfn.XLOOKUP(Jnl[[#This Row],[TrxId]], Trx[Id], Trx[Division],,0)</f>
        <v>Ctrl</v>
      </c>
      <c r="D73" s="6" t="str">
        <f>_xlfn.XLOOKUP(Jnl[[#This Row],[TrxId]], Trx[Id], Trx[Action],,0)</f>
        <v>结转</v>
      </c>
      <c r="E73" s="30" t="s">
        <v>84</v>
      </c>
      <c r="F73" s="10" t="s">
        <v>130</v>
      </c>
      <c r="G73" s="10" t="s">
        <v>152</v>
      </c>
      <c r="H73" s="21">
        <v>30461.37</v>
      </c>
      <c r="I73" s="4" t="b">
        <f>AND(Jnl[[#This Row],[TrxId]]&lt;&gt;"",Jnl[[#This Row],[Acct]]&lt;&gt;"",Jnl[[#This Row],[Item]]&lt;&gt;"",ISNUMBER(Jnl[[#This Row],[Bal]]))</f>
        <v>1</v>
      </c>
      <c r="J73" s="9">
        <f>IF(Jnl[[#This Row],[BSLv0]]="A",1,-1)*Jnl[[#This Row],[Bal]]</f>
        <v>-30461.37</v>
      </c>
      <c r="K73" t="str">
        <f>_xlfn.XLOOKUP(Jnl[[#This Row],[Acct]], config_BS[Acct], config_BS[Lv0],,0)</f>
        <v>LC</v>
      </c>
      <c r="L73" t="str">
        <f>_xlfn.XLOOKUP(Jnl[[#This Row],[Acct]], config_BS[Acct], config_BS[Lv1],,0)</f>
        <v>Liability</v>
      </c>
      <c r="M73" t="str">
        <f>_xlfn.XLOOKUP(Jnl[[#This Row],[Acct]], config_BS[Acct], config_BS[Lv2],,0)</f>
        <v>Rec-Pay</v>
      </c>
      <c r="N73" t="str">
        <f>_xlfn.XLOOKUP(Jnl[[#This Row],[TrxId]], Trx[Id], Trx[IncNode], ,0)</f>
        <v>Other</v>
      </c>
      <c r="O73" t="str">
        <f>_xlfn.XLOOKUP(Jnl[[#This Row],[IncNode]], config_IS[Node], config_IS[Type],,0)</f>
        <v>Non-Op</v>
      </c>
      <c r="P73" t="str">
        <f>_xlfn.XLOOKUP(Jnl[[#This Row],[BSLv2]], dict[Key], dict[Name],,0)</f>
        <v>1.应收-应付</v>
      </c>
      <c r="Q73" t="str">
        <f>_xlfn.XLOOKUP(Jnl[[#This Row],[Acct]], dict[Key], dict[Name],,0)</f>
        <v>应付-税款</v>
      </c>
      <c r="R73" t="str">
        <f>_xlfn.XLOOKUP(Jnl[[#This Row],[Vehicle]],config_vehicle[Id], config_vehicle[Name],,0)</f>
        <v>米小易</v>
      </c>
      <c r="S73" t="str">
        <f>_xlfn.XLOOKUP(Jnl[[#This Row],[Division]],config_div[Id], config_div[Name],,0)</f>
        <v>内控合规</v>
      </c>
      <c r="T73" t="str">
        <f>IF(Jnl[[#This Row],[TrxDate]]&lt;=stmt_BS_date_end, "In", "Out")</f>
        <v>In</v>
      </c>
      <c r="U73" t="str">
        <f>IF(Jnl[[#This Row],[TrxDate]]&lt;debug_date_start, "prior", IF(Jnl[[#This Row],[TrxDate]]&gt;debug_date_end, "post", "curr"))</f>
        <v>prior</v>
      </c>
    </row>
    <row r="74" spans="1:21">
      <c r="A74" s="10" t="s">
        <v>249</v>
      </c>
      <c r="B74" s="6">
        <f>_xlfn.XLOOKUP(Jnl[[#This Row],[TrxId]], Trx[Id], Trx[Date],,0)</f>
        <v>46022</v>
      </c>
      <c r="C74" s="6" t="str">
        <f>_xlfn.XLOOKUP(Jnl[[#This Row],[TrxId]], Trx[Id], Trx[Division],,0)</f>
        <v>Ctrl</v>
      </c>
      <c r="D74" s="6" t="str">
        <f>_xlfn.XLOOKUP(Jnl[[#This Row],[TrxId]], Trx[Id], Trx[Action],,0)</f>
        <v>结转</v>
      </c>
      <c r="E74" s="30" t="s">
        <v>84</v>
      </c>
      <c r="F74" s="10" t="s">
        <v>196</v>
      </c>
      <c r="G74" s="10" t="s">
        <v>153</v>
      </c>
      <c r="H74" s="21">
        <v>156507.97</v>
      </c>
      <c r="I74" s="4" t="b">
        <f>AND(Jnl[[#This Row],[TrxId]]&lt;&gt;"",Jnl[[#This Row],[Acct]]&lt;&gt;"",Jnl[[#This Row],[Item]]&lt;&gt;"",ISNUMBER(Jnl[[#This Row],[Bal]]))</f>
        <v>1</v>
      </c>
      <c r="J74" s="9">
        <f>IF(Jnl[[#This Row],[BSLv0]]="A",1,-1)*Jnl[[#This Row],[Bal]]</f>
        <v>-156507.97</v>
      </c>
      <c r="K74" t="str">
        <f>_xlfn.XLOOKUP(Jnl[[#This Row],[Acct]], config_BS[Acct], config_BS[Lv0],,0)</f>
        <v>LC</v>
      </c>
      <c r="L74" t="str">
        <f>_xlfn.XLOOKUP(Jnl[[#This Row],[Acct]], config_BS[Acct], config_BS[Lv1],,0)</f>
        <v>Liability</v>
      </c>
      <c r="M74" t="str">
        <f>_xlfn.XLOOKUP(Jnl[[#This Row],[Acct]], config_BS[Acct], config_BS[Lv2],,0)</f>
        <v>Rec-Pay</v>
      </c>
      <c r="N74" t="str">
        <f>_xlfn.XLOOKUP(Jnl[[#This Row],[TrxId]], Trx[Id], Trx[IncNode], ,0)</f>
        <v>Other</v>
      </c>
      <c r="O74" t="str">
        <f>_xlfn.XLOOKUP(Jnl[[#This Row],[IncNode]], config_IS[Node], config_IS[Type],,0)</f>
        <v>Non-Op</v>
      </c>
      <c r="P74" t="str">
        <f>_xlfn.XLOOKUP(Jnl[[#This Row],[BSLv2]], dict[Key], dict[Name],,0)</f>
        <v>1.应收-应付</v>
      </c>
      <c r="Q74" t="str">
        <f>_xlfn.XLOOKUP(Jnl[[#This Row],[Acct]], dict[Key], dict[Name],,0)</f>
        <v>应付-薪资</v>
      </c>
      <c r="R74" t="str">
        <f>_xlfn.XLOOKUP(Jnl[[#This Row],[Vehicle]],config_vehicle[Id], config_vehicle[Name],,0)</f>
        <v>米小易</v>
      </c>
      <c r="S74" t="str">
        <f>_xlfn.XLOOKUP(Jnl[[#This Row],[Division]],config_div[Id], config_div[Name],,0)</f>
        <v>内控合规</v>
      </c>
      <c r="T74" t="str">
        <f>IF(Jnl[[#This Row],[TrxDate]]&lt;=stmt_BS_date_end, "In", "Out")</f>
        <v>In</v>
      </c>
      <c r="U74" t="str">
        <f>IF(Jnl[[#This Row],[TrxDate]]&lt;debug_date_start, "prior", IF(Jnl[[#This Row],[TrxDate]]&gt;debug_date_end, "post", "curr"))</f>
        <v>prior</v>
      </c>
    </row>
    <row r="75" spans="1:21">
      <c r="A75" s="10" t="s">
        <v>249</v>
      </c>
      <c r="B75" s="6">
        <f>_xlfn.XLOOKUP(Jnl[[#This Row],[TrxId]], Trx[Id], Trx[Date],,0)</f>
        <v>46022</v>
      </c>
      <c r="C75" s="6" t="str">
        <f>_xlfn.XLOOKUP(Jnl[[#This Row],[TrxId]], Trx[Id], Trx[Division],,0)</f>
        <v>Ctrl</v>
      </c>
      <c r="D75" s="6" t="str">
        <f>_xlfn.XLOOKUP(Jnl[[#This Row],[TrxId]], Trx[Id], Trx[Action],,0)</f>
        <v>结转</v>
      </c>
      <c r="E75" s="30" t="s">
        <v>84</v>
      </c>
      <c r="F75" s="10" t="s">
        <v>204</v>
      </c>
      <c r="G75" s="10" t="s">
        <v>207</v>
      </c>
      <c r="H75" s="21">
        <v>50507.19</v>
      </c>
      <c r="I75" s="4" t="b">
        <f>AND(Jnl[[#This Row],[TrxId]]&lt;&gt;"",Jnl[[#This Row],[Acct]]&lt;&gt;"",Jnl[[#This Row],[Item]]&lt;&gt;"",ISNUMBER(Jnl[[#This Row],[Bal]]))</f>
        <v>1</v>
      </c>
      <c r="J75" s="9">
        <f>IF(Jnl[[#This Row],[BSLv0]]="A",1,-1)*Jnl[[#This Row],[Bal]]</f>
        <v>-50507.19</v>
      </c>
      <c r="K75" t="str">
        <f>_xlfn.XLOOKUP(Jnl[[#This Row],[Acct]], config_BS[Acct], config_BS[Lv0],,0)</f>
        <v>LC</v>
      </c>
      <c r="L75" t="str">
        <f>_xlfn.XLOOKUP(Jnl[[#This Row],[Acct]], config_BS[Acct], config_BS[Lv1],,0)</f>
        <v>Liability</v>
      </c>
      <c r="M75" t="str">
        <f>_xlfn.XLOOKUP(Jnl[[#This Row],[Acct]], config_BS[Acct], config_BS[Lv2],,0)</f>
        <v>Cash alike</v>
      </c>
      <c r="N75" t="str">
        <f>_xlfn.XLOOKUP(Jnl[[#This Row],[TrxId]], Trx[Id], Trx[IncNode], ,0)</f>
        <v>Other</v>
      </c>
      <c r="O75" t="str">
        <f>_xlfn.XLOOKUP(Jnl[[#This Row],[IncNode]], config_IS[Node], config_IS[Type],,0)</f>
        <v>Non-Op</v>
      </c>
      <c r="P75" t="str">
        <f>_xlfn.XLOOKUP(Jnl[[#This Row],[BSLv2]], dict[Key], dict[Name],,0)</f>
        <v>0.现金及类似</v>
      </c>
      <c r="Q75" t="str">
        <f>_xlfn.XLOOKUP(Jnl[[#This Row],[Acct]], dict[Key], dict[Name],,0)</f>
        <v>会员充值</v>
      </c>
      <c r="R75" t="str">
        <f>_xlfn.XLOOKUP(Jnl[[#This Row],[Vehicle]],config_vehicle[Id], config_vehicle[Name],,0)</f>
        <v>米小易</v>
      </c>
      <c r="S75" t="str">
        <f>_xlfn.XLOOKUP(Jnl[[#This Row],[Division]],config_div[Id], config_div[Name],,0)</f>
        <v>内控合规</v>
      </c>
      <c r="T75" t="str">
        <f>IF(Jnl[[#This Row],[TrxDate]]&lt;=stmt_BS_date_end, "In", "Out")</f>
        <v>In</v>
      </c>
      <c r="U75" t="str">
        <f>IF(Jnl[[#This Row],[TrxDate]]&lt;debug_date_start, "prior", IF(Jnl[[#This Row],[TrxDate]]&gt;debug_date_end, "post", "curr"))</f>
        <v>prior</v>
      </c>
    </row>
    <row r="76" spans="1:21">
      <c r="A76" s="10" t="s">
        <v>249</v>
      </c>
      <c r="B76" s="6">
        <f>_xlfn.XLOOKUP(Jnl[[#This Row],[TrxId]], Trx[Id], Trx[Date],,0)</f>
        <v>46022</v>
      </c>
      <c r="C76" s="6" t="str">
        <f>_xlfn.XLOOKUP(Jnl[[#This Row],[TrxId]], Trx[Id], Trx[Division],,0)</f>
        <v>Ctrl</v>
      </c>
      <c r="D76" s="6" t="str">
        <f>_xlfn.XLOOKUP(Jnl[[#This Row],[TrxId]], Trx[Id], Trx[Action],,0)</f>
        <v>结转</v>
      </c>
      <c r="E76" s="30" t="s">
        <v>85</v>
      </c>
      <c r="F76" s="10" t="s">
        <v>130</v>
      </c>
      <c r="G76" s="10" t="s">
        <v>152</v>
      </c>
      <c r="H76" s="21">
        <v>12351.18</v>
      </c>
      <c r="I76" s="4" t="b">
        <f>AND(Jnl[[#This Row],[TrxId]]&lt;&gt;"",Jnl[[#This Row],[Acct]]&lt;&gt;"",Jnl[[#This Row],[Item]]&lt;&gt;"",ISNUMBER(Jnl[[#This Row],[Bal]]))</f>
        <v>1</v>
      </c>
      <c r="J76" s="9">
        <f>IF(Jnl[[#This Row],[BSLv0]]="A",1,-1)*Jnl[[#This Row],[Bal]]</f>
        <v>-12351.18</v>
      </c>
      <c r="K76" t="str">
        <f>_xlfn.XLOOKUP(Jnl[[#This Row],[Acct]], config_BS[Acct], config_BS[Lv0],,0)</f>
        <v>LC</v>
      </c>
      <c r="L76" t="str">
        <f>_xlfn.XLOOKUP(Jnl[[#This Row],[Acct]], config_BS[Acct], config_BS[Lv1],,0)</f>
        <v>Liability</v>
      </c>
      <c r="M76" t="str">
        <f>_xlfn.XLOOKUP(Jnl[[#This Row],[Acct]], config_BS[Acct], config_BS[Lv2],,0)</f>
        <v>Rec-Pay</v>
      </c>
      <c r="N76" t="str">
        <f>_xlfn.XLOOKUP(Jnl[[#This Row],[TrxId]], Trx[Id], Trx[IncNode], ,0)</f>
        <v>Other</v>
      </c>
      <c r="O76" t="str">
        <f>_xlfn.XLOOKUP(Jnl[[#This Row],[IncNode]], config_IS[Node], config_IS[Type],,0)</f>
        <v>Non-Op</v>
      </c>
      <c r="P76" t="str">
        <f>_xlfn.XLOOKUP(Jnl[[#This Row],[BSLv2]], dict[Key], dict[Name],,0)</f>
        <v>1.应收-应付</v>
      </c>
      <c r="Q76" t="str">
        <f>_xlfn.XLOOKUP(Jnl[[#This Row],[Acct]], dict[Key], dict[Name],,0)</f>
        <v>应付-税款</v>
      </c>
      <c r="R76" t="str">
        <f>_xlfn.XLOOKUP(Jnl[[#This Row],[Vehicle]],config_vehicle[Id], config_vehicle[Name],,0)</f>
        <v>远家文化</v>
      </c>
      <c r="S76" t="str">
        <f>_xlfn.XLOOKUP(Jnl[[#This Row],[Division]],config_div[Id], config_div[Name],,0)</f>
        <v>内控合规</v>
      </c>
      <c r="T76" t="str">
        <f>IF(Jnl[[#This Row],[TrxDate]]&lt;=stmt_BS_date_end, "In", "Out")</f>
        <v>In</v>
      </c>
      <c r="U76" t="str">
        <f>IF(Jnl[[#This Row],[TrxDate]]&lt;debug_date_start, "prior", IF(Jnl[[#This Row],[TrxDate]]&gt;debug_date_end, "post", "curr"))</f>
        <v>prior</v>
      </c>
    </row>
    <row r="77" spans="1:21">
      <c r="A77" s="10" t="s">
        <v>249</v>
      </c>
      <c r="B77" s="6">
        <f>_xlfn.XLOOKUP(Jnl[[#This Row],[TrxId]], Trx[Id], Trx[Date],,0)</f>
        <v>46022</v>
      </c>
      <c r="C77" s="6" t="str">
        <f>_xlfn.XLOOKUP(Jnl[[#This Row],[TrxId]], Trx[Id], Trx[Division],,0)</f>
        <v>Ctrl</v>
      </c>
      <c r="D77" s="6" t="str">
        <f>_xlfn.XLOOKUP(Jnl[[#This Row],[TrxId]], Trx[Id], Trx[Action],,0)</f>
        <v>结转</v>
      </c>
      <c r="E77" s="30" t="s">
        <v>85</v>
      </c>
      <c r="F77" s="10" t="s">
        <v>196</v>
      </c>
      <c r="G77" s="10" t="s">
        <v>153</v>
      </c>
      <c r="H77" s="21">
        <v>112127.37</v>
      </c>
      <c r="I77" s="4" t="b">
        <f>AND(Jnl[[#This Row],[TrxId]]&lt;&gt;"",Jnl[[#This Row],[Acct]]&lt;&gt;"",Jnl[[#This Row],[Item]]&lt;&gt;"",ISNUMBER(Jnl[[#This Row],[Bal]]))</f>
        <v>1</v>
      </c>
      <c r="J77" s="9">
        <f>IF(Jnl[[#This Row],[BSLv0]]="A",1,-1)*Jnl[[#This Row],[Bal]]</f>
        <v>-112127.37</v>
      </c>
      <c r="K77" t="str">
        <f>_xlfn.XLOOKUP(Jnl[[#This Row],[Acct]], config_BS[Acct], config_BS[Lv0],,0)</f>
        <v>LC</v>
      </c>
      <c r="L77" t="str">
        <f>_xlfn.XLOOKUP(Jnl[[#This Row],[Acct]], config_BS[Acct], config_BS[Lv1],,0)</f>
        <v>Liability</v>
      </c>
      <c r="M77" t="str">
        <f>_xlfn.XLOOKUP(Jnl[[#This Row],[Acct]], config_BS[Acct], config_BS[Lv2],,0)</f>
        <v>Rec-Pay</v>
      </c>
      <c r="N77" t="str">
        <f>_xlfn.XLOOKUP(Jnl[[#This Row],[TrxId]], Trx[Id], Trx[IncNode], ,0)</f>
        <v>Other</v>
      </c>
      <c r="O77" t="str">
        <f>_xlfn.XLOOKUP(Jnl[[#This Row],[IncNode]], config_IS[Node], config_IS[Type],,0)</f>
        <v>Non-Op</v>
      </c>
      <c r="P77" t="str">
        <f>_xlfn.XLOOKUP(Jnl[[#This Row],[BSLv2]], dict[Key], dict[Name],,0)</f>
        <v>1.应收-应付</v>
      </c>
      <c r="Q77" t="str">
        <f>_xlfn.XLOOKUP(Jnl[[#This Row],[Acct]], dict[Key], dict[Name],,0)</f>
        <v>应付-薪资</v>
      </c>
      <c r="R77" t="str">
        <f>_xlfn.XLOOKUP(Jnl[[#This Row],[Vehicle]],config_vehicle[Id], config_vehicle[Name],,0)</f>
        <v>远家文化</v>
      </c>
      <c r="S77" t="str">
        <f>_xlfn.XLOOKUP(Jnl[[#This Row],[Division]],config_div[Id], config_div[Name],,0)</f>
        <v>内控合规</v>
      </c>
      <c r="T77" t="str">
        <f>IF(Jnl[[#This Row],[TrxDate]]&lt;=stmt_BS_date_end, "In", "Out")</f>
        <v>In</v>
      </c>
      <c r="U77" t="str">
        <f>IF(Jnl[[#This Row],[TrxDate]]&lt;debug_date_start, "prior", IF(Jnl[[#This Row],[TrxDate]]&gt;debug_date_end, "post", "curr"))</f>
        <v>prior</v>
      </c>
    </row>
    <row r="78" spans="1:21">
      <c r="A78" s="10" t="s">
        <v>249</v>
      </c>
      <c r="B78" s="6">
        <f>_xlfn.XLOOKUP(Jnl[[#This Row],[TrxId]], Trx[Id], Trx[Date],,0)</f>
        <v>46022</v>
      </c>
      <c r="C78" s="6" t="str">
        <f>_xlfn.XLOOKUP(Jnl[[#This Row],[TrxId]], Trx[Id], Trx[Division],,0)</f>
        <v>Ctrl</v>
      </c>
      <c r="D78" s="6" t="str">
        <f>_xlfn.XLOOKUP(Jnl[[#This Row],[TrxId]], Trx[Id], Trx[Action],,0)</f>
        <v>结转</v>
      </c>
      <c r="E78" s="30" t="s">
        <v>85</v>
      </c>
      <c r="F78" s="10" t="s">
        <v>204</v>
      </c>
      <c r="G78" s="10" t="s">
        <v>31</v>
      </c>
      <c r="H78" s="21">
        <v>389468.04000000004</v>
      </c>
      <c r="I78" s="4" t="b">
        <f>AND(Jnl[[#This Row],[TrxId]]&lt;&gt;"",Jnl[[#This Row],[Acct]]&lt;&gt;"",Jnl[[#This Row],[Item]]&lt;&gt;"",ISNUMBER(Jnl[[#This Row],[Bal]]))</f>
        <v>1</v>
      </c>
      <c r="J78" s="9">
        <f>IF(Jnl[[#This Row],[BSLv0]]="A",1,-1)*Jnl[[#This Row],[Bal]]</f>
        <v>-389468.04000000004</v>
      </c>
      <c r="K78" t="str">
        <f>_xlfn.XLOOKUP(Jnl[[#This Row],[Acct]], config_BS[Acct], config_BS[Lv0],,0)</f>
        <v>LC</v>
      </c>
      <c r="L78" t="str">
        <f>_xlfn.XLOOKUP(Jnl[[#This Row],[Acct]], config_BS[Acct], config_BS[Lv1],,0)</f>
        <v>Liability</v>
      </c>
      <c r="M78" t="str">
        <f>_xlfn.XLOOKUP(Jnl[[#This Row],[Acct]], config_BS[Acct], config_BS[Lv2],,0)</f>
        <v>Cash alike</v>
      </c>
      <c r="N78" t="str">
        <f>_xlfn.XLOOKUP(Jnl[[#This Row],[TrxId]], Trx[Id], Trx[IncNode], ,0)</f>
        <v>Other</v>
      </c>
      <c r="O78" t="str">
        <f>_xlfn.XLOOKUP(Jnl[[#This Row],[IncNode]], config_IS[Node], config_IS[Type],,0)</f>
        <v>Non-Op</v>
      </c>
      <c r="P78" t="str">
        <f>_xlfn.XLOOKUP(Jnl[[#This Row],[BSLv2]], dict[Key], dict[Name],,0)</f>
        <v>0.现金及类似</v>
      </c>
      <c r="Q78" t="str">
        <f>_xlfn.XLOOKUP(Jnl[[#This Row],[Acct]], dict[Key], dict[Name],,0)</f>
        <v>会员充值</v>
      </c>
      <c r="R78" t="str">
        <f>_xlfn.XLOOKUP(Jnl[[#This Row],[Vehicle]],config_vehicle[Id], config_vehicle[Name],,0)</f>
        <v>远家文化</v>
      </c>
      <c r="S78" t="str">
        <f>_xlfn.XLOOKUP(Jnl[[#This Row],[Division]],config_div[Id], config_div[Name],,0)</f>
        <v>内控合规</v>
      </c>
      <c r="T78" t="str">
        <f>IF(Jnl[[#This Row],[TrxDate]]&lt;=stmt_BS_date_end, "In", "Out")</f>
        <v>In</v>
      </c>
      <c r="U78" t="str">
        <f>IF(Jnl[[#This Row],[TrxDate]]&lt;debug_date_start, "prior", IF(Jnl[[#This Row],[TrxDate]]&gt;debug_date_end, "post", "curr"))</f>
        <v>prior</v>
      </c>
    </row>
    <row r="79" spans="1:21">
      <c r="A79" s="10" t="s">
        <v>249</v>
      </c>
      <c r="B79" s="6">
        <f>_xlfn.XLOOKUP(Jnl[[#This Row],[TrxId]], Trx[Id], Trx[Date],,0)</f>
        <v>46022</v>
      </c>
      <c r="C79" s="6" t="str">
        <f>_xlfn.XLOOKUP(Jnl[[#This Row],[TrxId]], Trx[Id], Trx[Division],,0)</f>
        <v>Ctrl</v>
      </c>
      <c r="D79" s="6" t="str">
        <f>_xlfn.XLOOKUP(Jnl[[#This Row],[TrxId]], Trx[Id], Trx[Action],,0)</f>
        <v>结转</v>
      </c>
      <c r="E79" s="30" t="s">
        <v>85</v>
      </c>
      <c r="F79" s="10" t="s">
        <v>134</v>
      </c>
      <c r="G79" s="10" t="s">
        <v>206</v>
      </c>
      <c r="H79" s="21">
        <v>5997.5</v>
      </c>
      <c r="I79" s="4" t="b">
        <f>AND(Jnl[[#This Row],[TrxId]]&lt;&gt;"",Jnl[[#This Row],[Acct]]&lt;&gt;"",Jnl[[#This Row],[Item]]&lt;&gt;"",ISNUMBER(Jnl[[#This Row],[Bal]]))</f>
        <v>1</v>
      </c>
      <c r="J79" s="9">
        <f>IF(Jnl[[#This Row],[BSLv0]]="A",1,-1)*Jnl[[#This Row],[Bal]]</f>
        <v>-5997.5</v>
      </c>
      <c r="K79" t="str">
        <f>_xlfn.XLOOKUP(Jnl[[#This Row],[Acct]], config_BS[Acct], config_BS[Lv0],,0)</f>
        <v>LC</v>
      </c>
      <c r="L79" t="str">
        <f>_xlfn.XLOOKUP(Jnl[[#This Row],[Acct]], config_BS[Acct], config_BS[Lv1],,0)</f>
        <v>Liability</v>
      </c>
      <c r="M79" t="str">
        <f>_xlfn.XLOOKUP(Jnl[[#This Row],[Acct]], config_BS[Acct], config_BS[Lv2],,0)</f>
        <v>Rec-Pay</v>
      </c>
      <c r="N79" t="str">
        <f>_xlfn.XLOOKUP(Jnl[[#This Row],[TrxId]], Trx[Id], Trx[IncNode], ,0)</f>
        <v>Other</v>
      </c>
      <c r="O79" t="str">
        <f>_xlfn.XLOOKUP(Jnl[[#This Row],[IncNode]], config_IS[Node], config_IS[Type],,0)</f>
        <v>Non-Op</v>
      </c>
      <c r="P79" t="str">
        <f>_xlfn.XLOOKUP(Jnl[[#This Row],[BSLv2]], dict[Key], dict[Name],,0)</f>
        <v>1.应收-应付</v>
      </c>
      <c r="Q79" t="str">
        <f>_xlfn.XLOOKUP(Jnl[[#This Row],[Acct]], dict[Key], dict[Name],,0)</f>
        <v>应付-其他</v>
      </c>
      <c r="R79" t="str">
        <f>_xlfn.XLOOKUP(Jnl[[#This Row],[Vehicle]],config_vehicle[Id], config_vehicle[Name],,0)</f>
        <v>远家文化</v>
      </c>
      <c r="S79" t="str">
        <f>_xlfn.XLOOKUP(Jnl[[#This Row],[Division]],config_div[Id], config_div[Name],,0)</f>
        <v>内控合规</v>
      </c>
      <c r="T79" t="str">
        <f>IF(Jnl[[#This Row],[TrxDate]]&lt;=stmt_BS_date_end, "In", "Out")</f>
        <v>In</v>
      </c>
      <c r="U79" t="str">
        <f>IF(Jnl[[#This Row],[TrxDate]]&lt;debug_date_start, "prior", IF(Jnl[[#This Row],[TrxDate]]&gt;debug_date_end, "post", "curr"))</f>
        <v>prior</v>
      </c>
    </row>
    <row r="80" spans="1:21">
      <c r="A80" s="10" t="s">
        <v>249</v>
      </c>
      <c r="B80" s="6">
        <f>_xlfn.XLOOKUP(Jnl[[#This Row],[TrxId]], Trx[Id], Trx[Date],,0)</f>
        <v>46022</v>
      </c>
      <c r="C80" s="6" t="str">
        <f>_xlfn.XLOOKUP(Jnl[[#This Row],[TrxId]], Trx[Id], Trx[Division],,0)</f>
        <v>Ctrl</v>
      </c>
      <c r="D80" s="6" t="str">
        <f>_xlfn.XLOOKUP(Jnl[[#This Row],[TrxId]], Trx[Id], Trx[Action],,0)</f>
        <v>结转</v>
      </c>
      <c r="E80" s="30" t="s">
        <v>85</v>
      </c>
      <c r="F80" s="10" t="s">
        <v>117</v>
      </c>
      <c r="G80" s="10" t="s">
        <v>140</v>
      </c>
      <c r="H80" s="21">
        <v>25551.3</v>
      </c>
      <c r="I80" s="4" t="b">
        <f>AND(Jnl[[#This Row],[TrxId]]&lt;&gt;"",Jnl[[#This Row],[Acct]]&lt;&gt;"",Jnl[[#This Row],[Item]]&lt;&gt;"",ISNUMBER(Jnl[[#This Row],[Bal]]))</f>
        <v>1</v>
      </c>
      <c r="J80" s="9">
        <f>IF(Jnl[[#This Row],[BSLv0]]="A",1,-1)*Jnl[[#This Row],[Bal]]</f>
        <v>-25551.3</v>
      </c>
      <c r="K80" t="str">
        <f>_xlfn.XLOOKUP(Jnl[[#This Row],[Acct]], config_BS[Acct], config_BS[Lv0],,0)</f>
        <v>LC</v>
      </c>
      <c r="L80" t="str">
        <f>_xlfn.XLOOKUP(Jnl[[#This Row],[Acct]], config_BS[Acct], config_BS[Lv1],,0)</f>
        <v>Liability</v>
      </c>
      <c r="M80" t="str">
        <f>_xlfn.XLOOKUP(Jnl[[#This Row],[Acct]], config_BS[Acct], config_BS[Lv2],,0)</f>
        <v>Rec-Pay</v>
      </c>
      <c r="N80" t="str">
        <f>_xlfn.XLOOKUP(Jnl[[#This Row],[TrxId]], Trx[Id], Trx[IncNode], ,0)</f>
        <v>Other</v>
      </c>
      <c r="O80" t="str">
        <f>_xlfn.XLOOKUP(Jnl[[#This Row],[IncNode]], config_IS[Node], config_IS[Type],,0)</f>
        <v>Non-Op</v>
      </c>
      <c r="P80" t="str">
        <f>_xlfn.XLOOKUP(Jnl[[#This Row],[BSLv2]], dict[Key], dict[Name],,0)</f>
        <v>1.应收-应付</v>
      </c>
      <c r="Q80" t="str">
        <f>_xlfn.XLOOKUP(Jnl[[#This Row],[Acct]], dict[Key], dict[Name],,0)</f>
        <v>应付-一般</v>
      </c>
      <c r="R80" t="str">
        <f>_xlfn.XLOOKUP(Jnl[[#This Row],[Vehicle]],config_vehicle[Id], config_vehicle[Name],,0)</f>
        <v>远家文化</v>
      </c>
      <c r="S80" t="str">
        <f>_xlfn.XLOOKUP(Jnl[[#This Row],[Division]],config_div[Id], config_div[Name],,0)</f>
        <v>内控合规</v>
      </c>
      <c r="T80" t="str">
        <f>IF(Jnl[[#This Row],[TrxDate]]&lt;=stmt_BS_date_end, "In", "Out")</f>
        <v>In</v>
      </c>
      <c r="U80" t="str">
        <f>IF(Jnl[[#This Row],[TrxDate]]&lt;debug_date_start, "prior", IF(Jnl[[#This Row],[TrxDate]]&gt;debug_date_end, "post", "curr"))</f>
        <v>prior</v>
      </c>
    </row>
    <row r="81" spans="1:21">
      <c r="A81" s="10" t="s">
        <v>249</v>
      </c>
      <c r="B81" s="6">
        <f>_xlfn.XLOOKUP(Jnl[[#This Row],[TrxId]], Trx[Id], Trx[Date],,0)</f>
        <v>46022</v>
      </c>
      <c r="C81" s="6" t="str">
        <f>_xlfn.XLOOKUP(Jnl[[#This Row],[TrxId]], Trx[Id], Trx[Division],,0)</f>
        <v>Ctrl</v>
      </c>
      <c r="D81" s="6" t="str">
        <f>_xlfn.XLOOKUP(Jnl[[#This Row],[TrxId]], Trx[Id], Trx[Action],,0)</f>
        <v>结转</v>
      </c>
      <c r="E81" s="30" t="s">
        <v>85</v>
      </c>
      <c r="F81" s="10" t="s">
        <v>161</v>
      </c>
      <c r="G81" s="10" t="s">
        <v>150</v>
      </c>
      <c r="H81" s="21">
        <v>14402045</v>
      </c>
      <c r="I81" s="4" t="b">
        <f>AND(Jnl[[#This Row],[TrxId]]&lt;&gt;"",Jnl[[#This Row],[Acct]]&lt;&gt;"",Jnl[[#This Row],[Item]]&lt;&gt;"",ISNUMBER(Jnl[[#This Row],[Bal]]))</f>
        <v>1</v>
      </c>
      <c r="J81" s="9">
        <f>IF(Jnl[[#This Row],[BSLv0]]="A",1,-1)*Jnl[[#This Row],[Bal]]</f>
        <v>-14402045</v>
      </c>
      <c r="K81" t="str">
        <f>_xlfn.XLOOKUP(Jnl[[#This Row],[Acct]], config_BS[Acct], config_BS[Lv0],,0)</f>
        <v>LC</v>
      </c>
      <c r="L81" t="str">
        <f>_xlfn.XLOOKUP(Jnl[[#This Row],[Acct]], config_BS[Acct], config_BS[Lv1],,0)</f>
        <v>Equity</v>
      </c>
      <c r="M81" t="str">
        <f>_xlfn.XLOOKUP(Jnl[[#This Row],[Acct]], config_BS[Acct], config_BS[Lv2],,0)</f>
        <v>Cap</v>
      </c>
      <c r="N81" t="str">
        <f>_xlfn.XLOOKUP(Jnl[[#This Row],[TrxId]], Trx[Id], Trx[IncNode], ,0)</f>
        <v>Other</v>
      </c>
      <c r="O81" t="str">
        <f>_xlfn.XLOOKUP(Jnl[[#This Row],[IncNode]], config_IS[Node], config_IS[Type],,0)</f>
        <v>Non-Op</v>
      </c>
      <c r="P81" t="str">
        <f>_xlfn.XLOOKUP(Jnl[[#This Row],[BSLv2]], dict[Key], dict[Name],,0)</f>
        <v>X.资本</v>
      </c>
      <c r="Q81" t="str">
        <f>_xlfn.XLOOKUP(Jnl[[#This Row],[Acct]], dict[Key], dict[Name],,0)</f>
        <v>额外投入</v>
      </c>
      <c r="R81" t="str">
        <f>_xlfn.XLOOKUP(Jnl[[#This Row],[Vehicle]],config_vehicle[Id], config_vehicle[Name],,0)</f>
        <v>远家文化</v>
      </c>
      <c r="S81" t="str">
        <f>_xlfn.XLOOKUP(Jnl[[#This Row],[Division]],config_div[Id], config_div[Name],,0)</f>
        <v>内控合规</v>
      </c>
      <c r="T81" t="str">
        <f>IF(Jnl[[#This Row],[TrxDate]]&lt;=stmt_BS_date_end, "In", "Out")</f>
        <v>In</v>
      </c>
      <c r="U81" t="str">
        <f>IF(Jnl[[#This Row],[TrxDate]]&lt;debug_date_start, "prior", IF(Jnl[[#This Row],[TrxDate]]&gt;debug_date_end, "post", "curr"))</f>
        <v>prior</v>
      </c>
    </row>
    <row r="82" spans="1:21">
      <c r="A82" s="10" t="s">
        <v>249</v>
      </c>
      <c r="B82" s="6">
        <f>_xlfn.XLOOKUP(Jnl[[#This Row],[TrxId]], Trx[Id], Trx[Date],,0)</f>
        <v>46022</v>
      </c>
      <c r="C82" s="6" t="str">
        <f>_xlfn.XLOOKUP(Jnl[[#This Row],[TrxId]], Trx[Id], Trx[Division],,0)</f>
        <v>Ctrl</v>
      </c>
      <c r="D82" s="6" t="str">
        <f>_xlfn.XLOOKUP(Jnl[[#This Row],[TrxId]], Trx[Id], Trx[Action],,0)</f>
        <v>结转</v>
      </c>
      <c r="E82" s="30" t="s">
        <v>83</v>
      </c>
      <c r="F82" s="10" t="s">
        <v>16</v>
      </c>
      <c r="G82" s="10" t="s">
        <v>151</v>
      </c>
      <c r="H82" s="21">
        <v>25036191</v>
      </c>
      <c r="I82" s="4" t="b">
        <f>AND(Jnl[[#This Row],[TrxId]]&lt;&gt;"",Jnl[[#This Row],[Acct]]&lt;&gt;"",Jnl[[#This Row],[Item]]&lt;&gt;"",ISNUMBER(Jnl[[#This Row],[Bal]]))</f>
        <v>1</v>
      </c>
      <c r="J82" s="9">
        <f>IF(Jnl[[#This Row],[BSLv0]]="A",1,-1)*Jnl[[#This Row],[Bal]]</f>
        <v>-25036191</v>
      </c>
      <c r="K82" t="str">
        <f>_xlfn.XLOOKUP(Jnl[[#This Row],[Acct]], config_BS[Acct], config_BS[Lv0],,0)</f>
        <v>LC</v>
      </c>
      <c r="L82" t="str">
        <f>_xlfn.XLOOKUP(Jnl[[#This Row],[Acct]], config_BS[Acct], config_BS[Lv1],,0)</f>
        <v>Equity</v>
      </c>
      <c r="M82" t="str">
        <f>_xlfn.XLOOKUP(Jnl[[#This Row],[Acct]], config_BS[Acct], config_BS[Lv2],,0)</f>
        <v>Cap</v>
      </c>
      <c r="N82" t="str">
        <f>_xlfn.XLOOKUP(Jnl[[#This Row],[TrxId]], Trx[Id], Trx[IncNode], ,0)</f>
        <v>Other</v>
      </c>
      <c r="O82" t="str">
        <f>_xlfn.XLOOKUP(Jnl[[#This Row],[IncNode]], config_IS[Node], config_IS[Type],,0)</f>
        <v>Non-Op</v>
      </c>
      <c r="P82" t="str">
        <f>_xlfn.XLOOKUP(Jnl[[#This Row],[BSLv2]], dict[Key], dict[Name],,0)</f>
        <v>X.资本</v>
      </c>
      <c r="Q82" t="str">
        <f>_xlfn.XLOOKUP(Jnl[[#This Row],[Acct]], dict[Key], dict[Name],,0)</f>
        <v>原始资本</v>
      </c>
      <c r="R82" t="str">
        <f>_xlfn.XLOOKUP(Jnl[[#This Row],[Vehicle]],config_vehicle[Id], config_vehicle[Name],,0)</f>
        <v>喜家文化</v>
      </c>
      <c r="S82" t="str">
        <f>_xlfn.XLOOKUP(Jnl[[#This Row],[Division]],config_div[Id], config_div[Name],,0)</f>
        <v>内控合规</v>
      </c>
      <c r="T82" t="str">
        <f>IF(Jnl[[#This Row],[TrxDate]]&lt;=stmt_BS_date_end, "In", "Out")</f>
        <v>In</v>
      </c>
      <c r="U82" t="str">
        <f>IF(Jnl[[#This Row],[TrxDate]]&lt;debug_date_start, "prior", IF(Jnl[[#This Row],[TrxDate]]&gt;debug_date_end, "post", "curr"))</f>
        <v>prior</v>
      </c>
    </row>
    <row r="83" spans="1:21">
      <c r="A83" s="10" t="s">
        <v>249</v>
      </c>
      <c r="B83" s="6">
        <f>_xlfn.XLOOKUP(Jnl[[#This Row],[TrxId]], Trx[Id], Trx[Date],,0)</f>
        <v>46022</v>
      </c>
      <c r="C83" s="6" t="str">
        <f>_xlfn.XLOOKUP(Jnl[[#This Row],[TrxId]], Trx[Id], Trx[Division],,0)</f>
        <v>Ctrl</v>
      </c>
      <c r="D83" s="6" t="str">
        <f>_xlfn.XLOOKUP(Jnl[[#This Row],[TrxId]], Trx[Id], Trx[Action],,0)</f>
        <v>结转</v>
      </c>
      <c r="E83" s="30" t="s">
        <v>83</v>
      </c>
      <c r="F83" s="10" t="s">
        <v>18</v>
      </c>
      <c r="G83" s="10" t="s">
        <v>129</v>
      </c>
      <c r="H83" s="21">
        <v>7626715.7400000319</v>
      </c>
      <c r="I83" s="4" t="b">
        <f>AND(Jnl[[#This Row],[TrxId]]&lt;&gt;"",Jnl[[#This Row],[Acct]]&lt;&gt;"",Jnl[[#This Row],[Item]]&lt;&gt;"",ISNUMBER(Jnl[[#This Row],[Bal]]))</f>
        <v>1</v>
      </c>
      <c r="J83" s="9">
        <f>IF(Jnl[[#This Row],[BSLv0]]="A",1,-1)*Jnl[[#This Row],[Bal]]</f>
        <v>-7626715.7400000319</v>
      </c>
      <c r="K83" t="str">
        <f>_xlfn.XLOOKUP(Jnl[[#This Row],[Acct]], config_BS[Acct], config_BS[Lv0],,0)</f>
        <v>LC</v>
      </c>
      <c r="L83" t="str">
        <f>_xlfn.XLOOKUP(Jnl[[#This Row],[Acct]], config_BS[Acct], config_BS[Lv1],,0)</f>
        <v>Equity</v>
      </c>
      <c r="M83" t="str">
        <f>_xlfn.XLOOKUP(Jnl[[#This Row],[Acct]], config_BS[Acct], config_BS[Lv2],,0)</f>
        <v>Rsv</v>
      </c>
      <c r="N83" t="str">
        <f>_xlfn.XLOOKUP(Jnl[[#This Row],[TrxId]], Trx[Id], Trx[IncNode], ,0)</f>
        <v>Other</v>
      </c>
      <c r="O83" t="str">
        <f>_xlfn.XLOOKUP(Jnl[[#This Row],[IncNode]], config_IS[Node], config_IS[Type],,0)</f>
        <v>Non-Op</v>
      </c>
      <c r="P83" t="str">
        <f>_xlfn.XLOOKUP(Jnl[[#This Row],[BSLv2]], dict[Key], dict[Name],,0)</f>
        <v>9.蓄水池</v>
      </c>
      <c r="Q83" t="str">
        <f>_xlfn.XLOOKUP(Jnl[[#This Row],[Acct]], dict[Key], dict[Name],,0)</f>
        <v>可分配利润</v>
      </c>
      <c r="R83" t="str">
        <f>_xlfn.XLOOKUP(Jnl[[#This Row],[Vehicle]],config_vehicle[Id], config_vehicle[Name],,0)</f>
        <v>喜家文化</v>
      </c>
      <c r="S83" t="str">
        <f>_xlfn.XLOOKUP(Jnl[[#This Row],[Division]],config_div[Id], config_div[Name],,0)</f>
        <v>内控合规</v>
      </c>
      <c r="T83" t="str">
        <f>IF(Jnl[[#This Row],[TrxDate]]&lt;=stmt_BS_date_end, "In", "Out")</f>
        <v>In</v>
      </c>
      <c r="U83" t="str">
        <f>IF(Jnl[[#This Row],[TrxDate]]&lt;debug_date_start, "prior", IF(Jnl[[#This Row],[TrxDate]]&gt;debug_date_end, "post", "curr"))</f>
        <v>prior</v>
      </c>
    </row>
    <row r="84" spans="1:21">
      <c r="A84" s="10" t="s">
        <v>250</v>
      </c>
      <c r="B84" s="6">
        <f>_xlfn.XLOOKUP(Jnl[[#This Row],[TrxId]], Trx[Id], Trx[Date],,0)</f>
        <v>46022</v>
      </c>
      <c r="C84" s="6" t="str">
        <f>_xlfn.XLOOKUP(Jnl[[#This Row],[TrxId]], Trx[Id], Trx[Division],,0)</f>
        <v>Ctrl</v>
      </c>
      <c r="D84" s="6" t="str">
        <f>_xlfn.XLOOKUP(Jnl[[#This Row],[TrxId]], Trx[Id], Trx[Action],,0)</f>
        <v>调整</v>
      </c>
      <c r="E84" s="30" t="s">
        <v>82</v>
      </c>
      <c r="F84" s="10" t="s">
        <v>119</v>
      </c>
      <c r="G84" s="10" t="s">
        <v>154</v>
      </c>
      <c r="H84" s="21">
        <v>-10513383.689999999</v>
      </c>
      <c r="I84" s="4" t="b">
        <f>AND(Jnl[[#This Row],[TrxId]]&lt;&gt;"",Jnl[[#This Row],[Acct]]&lt;&gt;"",Jnl[[#This Row],[Item]]&lt;&gt;"",ISNUMBER(Jnl[[#This Row],[Bal]]))</f>
        <v>1</v>
      </c>
      <c r="J84" s="9">
        <f>IF(Jnl[[#This Row],[BSLv0]]="A",1,-1)*Jnl[[#This Row],[Bal]]</f>
        <v>-10513383.689999999</v>
      </c>
      <c r="K84" t="str">
        <f>_xlfn.XLOOKUP(Jnl[[#This Row],[Acct]], config_BS[Acct], config_BS[Lv0],,0)</f>
        <v>A</v>
      </c>
      <c r="L84" t="str">
        <f>_xlfn.XLOOKUP(Jnl[[#This Row],[Acct]], config_BS[Acct], config_BS[Lv1],,0)</f>
        <v>Assets</v>
      </c>
      <c r="M84" t="str">
        <f>_xlfn.XLOOKUP(Jnl[[#This Row],[Acct]], config_BS[Acct], config_BS[Lv2],,0)</f>
        <v>Invtr</v>
      </c>
      <c r="N84" t="str">
        <f>_xlfn.XLOOKUP(Jnl[[#This Row],[TrxId]], Trx[Id], Trx[IncNode], ,0)</f>
        <v>Other</v>
      </c>
      <c r="O84" t="str">
        <f>_xlfn.XLOOKUP(Jnl[[#This Row],[IncNode]], config_IS[Node], config_IS[Type],,0)</f>
        <v>Non-Op</v>
      </c>
      <c r="P84" t="str">
        <f>_xlfn.XLOOKUP(Jnl[[#This Row],[BSLv2]], dict[Key], dict[Name],,0)</f>
        <v>3.库存占款</v>
      </c>
      <c r="Q84" t="str">
        <f>_xlfn.XLOOKUP(Jnl[[#This Row],[Acct]], dict[Key], dict[Name],,0)</f>
        <v>当期存货</v>
      </c>
      <c r="R84" t="str">
        <f>_xlfn.XLOOKUP(Jnl[[#This Row],[Vehicle]],config_vehicle[Id], config_vehicle[Name],,0)</f>
        <v>远家花园</v>
      </c>
      <c r="S84" t="str">
        <f>_xlfn.XLOOKUP(Jnl[[#This Row],[Division]],config_div[Id], config_div[Name],,0)</f>
        <v>内控合规</v>
      </c>
      <c r="T84" t="str">
        <f>IF(Jnl[[#This Row],[TrxDate]]&lt;=stmt_BS_date_end, "In", "Out")</f>
        <v>In</v>
      </c>
      <c r="U84" t="str">
        <f>IF(Jnl[[#This Row],[TrxDate]]&lt;debug_date_start, "prior", IF(Jnl[[#This Row],[TrxDate]]&gt;debug_date_end, "post", "curr"))</f>
        <v>prior</v>
      </c>
    </row>
    <row r="85" spans="1:21">
      <c r="A85" s="10" t="s">
        <v>250</v>
      </c>
      <c r="B85" s="6">
        <f>_xlfn.XLOOKUP(Jnl[[#This Row],[TrxId]], Trx[Id], Trx[Date],,0)</f>
        <v>46022</v>
      </c>
      <c r="C85" s="6" t="str">
        <f>_xlfn.XLOOKUP(Jnl[[#This Row],[TrxId]], Trx[Id], Trx[Division],,0)</f>
        <v>Ctrl</v>
      </c>
      <c r="D85" s="6" t="str">
        <f>_xlfn.XLOOKUP(Jnl[[#This Row],[TrxId]], Trx[Id], Trx[Action],,0)</f>
        <v>调整</v>
      </c>
      <c r="E85" s="30" t="s">
        <v>82</v>
      </c>
      <c r="F85" s="10" t="s">
        <v>119</v>
      </c>
      <c r="G85" s="10" t="s">
        <v>216</v>
      </c>
      <c r="H85" s="21">
        <v>3926374.9699999997</v>
      </c>
      <c r="I85" s="11" t="b">
        <f>AND(Jnl[[#This Row],[TrxId]]&lt;&gt;"",Jnl[[#This Row],[Acct]]&lt;&gt;"",Jnl[[#This Row],[Item]]&lt;&gt;"",ISNUMBER(Jnl[[#This Row],[Bal]]))</f>
        <v>1</v>
      </c>
      <c r="J85" s="9">
        <f>IF(Jnl[[#This Row],[BSLv0]]="A",1,-1)*Jnl[[#This Row],[Bal]]</f>
        <v>3926374.9699999997</v>
      </c>
      <c r="K85" t="str">
        <f>_xlfn.XLOOKUP(Jnl[[#This Row],[Acct]], config_BS[Acct], config_BS[Lv0],,0)</f>
        <v>A</v>
      </c>
      <c r="L85" t="str">
        <f>_xlfn.XLOOKUP(Jnl[[#This Row],[Acct]], config_BS[Acct], config_BS[Lv1],,0)</f>
        <v>Assets</v>
      </c>
      <c r="M85" t="str">
        <f>_xlfn.XLOOKUP(Jnl[[#This Row],[Acct]], config_BS[Acct], config_BS[Lv2],,0)</f>
        <v>Invtr</v>
      </c>
      <c r="N85" t="str">
        <f>_xlfn.XLOOKUP(Jnl[[#This Row],[TrxId]], Trx[Id], Trx[IncNode], ,0)</f>
        <v>Other</v>
      </c>
      <c r="O85" t="str">
        <f>_xlfn.XLOOKUP(Jnl[[#This Row],[IncNode]], config_IS[Node], config_IS[Type],,0)</f>
        <v>Non-Op</v>
      </c>
      <c r="P85" t="str">
        <f>_xlfn.XLOOKUP(Jnl[[#This Row],[BSLv2]], dict[Key], dict[Name],,0)</f>
        <v>3.库存占款</v>
      </c>
      <c r="Q85" t="str">
        <f>_xlfn.XLOOKUP(Jnl[[#This Row],[Acct]], dict[Key], dict[Name],,0)</f>
        <v>当期存货</v>
      </c>
      <c r="R85" t="str">
        <f>_xlfn.XLOOKUP(Jnl[[#This Row],[Vehicle]],config_vehicle[Id], config_vehicle[Name],,0)</f>
        <v>远家花园</v>
      </c>
      <c r="S85" t="str">
        <f>_xlfn.XLOOKUP(Jnl[[#This Row],[Division]],config_div[Id], config_div[Name],,0)</f>
        <v>内控合规</v>
      </c>
      <c r="T85" t="str">
        <f>IF(Jnl[[#This Row],[TrxDate]]&lt;=stmt_BS_date_end, "In", "Out")</f>
        <v>In</v>
      </c>
      <c r="U85" t="str">
        <f>IF(Jnl[[#This Row],[TrxDate]]&lt;debug_date_start, "prior", IF(Jnl[[#This Row],[TrxDate]]&gt;debug_date_end, "post", "curr"))</f>
        <v>prior</v>
      </c>
    </row>
    <row r="86" spans="1:21">
      <c r="A86" s="10" t="s">
        <v>250</v>
      </c>
      <c r="B86" s="6">
        <f>_xlfn.XLOOKUP(Jnl[[#This Row],[TrxId]], Trx[Id], Trx[Date],,0)</f>
        <v>46022</v>
      </c>
      <c r="C86" s="6" t="str">
        <f>_xlfn.XLOOKUP(Jnl[[#This Row],[TrxId]], Trx[Id], Trx[Division],,0)</f>
        <v>Ctrl</v>
      </c>
      <c r="D86" s="6" t="str">
        <f>_xlfn.XLOOKUP(Jnl[[#This Row],[TrxId]], Trx[Id], Trx[Action],,0)</f>
        <v>调整</v>
      </c>
      <c r="E86" s="30" t="s">
        <v>82</v>
      </c>
      <c r="F86" s="10" t="s">
        <v>119</v>
      </c>
      <c r="G86" s="10" t="s">
        <v>217</v>
      </c>
      <c r="H86" s="21">
        <v>2000000</v>
      </c>
      <c r="I86" s="11" t="b">
        <f>AND(Jnl[[#This Row],[TrxId]]&lt;&gt;"",Jnl[[#This Row],[Acct]]&lt;&gt;"",Jnl[[#This Row],[Item]]&lt;&gt;"",ISNUMBER(Jnl[[#This Row],[Bal]]))</f>
        <v>1</v>
      </c>
      <c r="J86" s="9">
        <f>IF(Jnl[[#This Row],[BSLv0]]="A",1,-1)*Jnl[[#This Row],[Bal]]</f>
        <v>2000000</v>
      </c>
      <c r="K86" t="str">
        <f>_xlfn.XLOOKUP(Jnl[[#This Row],[Acct]], config_BS[Acct], config_BS[Lv0],,0)</f>
        <v>A</v>
      </c>
      <c r="L86" t="str">
        <f>_xlfn.XLOOKUP(Jnl[[#This Row],[Acct]], config_BS[Acct], config_BS[Lv1],,0)</f>
        <v>Assets</v>
      </c>
      <c r="M86" t="str">
        <f>_xlfn.XLOOKUP(Jnl[[#This Row],[Acct]], config_BS[Acct], config_BS[Lv2],,0)</f>
        <v>Invtr</v>
      </c>
      <c r="N86" t="str">
        <f>_xlfn.XLOOKUP(Jnl[[#This Row],[TrxId]], Trx[Id], Trx[IncNode], ,0)</f>
        <v>Other</v>
      </c>
      <c r="O86" t="str">
        <f>_xlfn.XLOOKUP(Jnl[[#This Row],[IncNode]], config_IS[Node], config_IS[Type],,0)</f>
        <v>Non-Op</v>
      </c>
      <c r="P86" t="str">
        <f>_xlfn.XLOOKUP(Jnl[[#This Row],[BSLv2]], dict[Key], dict[Name],,0)</f>
        <v>3.库存占款</v>
      </c>
      <c r="Q86" t="str">
        <f>_xlfn.XLOOKUP(Jnl[[#This Row],[Acct]], dict[Key], dict[Name],,0)</f>
        <v>当期存货</v>
      </c>
      <c r="R86" t="str">
        <f>_xlfn.XLOOKUP(Jnl[[#This Row],[Vehicle]],config_vehicle[Id], config_vehicle[Name],,0)</f>
        <v>远家花园</v>
      </c>
      <c r="S86" t="str">
        <f>_xlfn.XLOOKUP(Jnl[[#This Row],[Division]],config_div[Id], config_div[Name],,0)</f>
        <v>内控合规</v>
      </c>
      <c r="T86" t="str">
        <f>IF(Jnl[[#This Row],[TrxDate]]&lt;=stmt_BS_date_end, "In", "Out")</f>
        <v>In</v>
      </c>
      <c r="U86" t="str">
        <f>IF(Jnl[[#This Row],[TrxDate]]&lt;debug_date_start, "prior", IF(Jnl[[#This Row],[TrxDate]]&gt;debug_date_end, "post", "curr"))</f>
        <v>prior</v>
      </c>
    </row>
    <row r="87" spans="1:21">
      <c r="A87" s="10" t="s">
        <v>250</v>
      </c>
      <c r="B87" s="6">
        <f>_xlfn.XLOOKUP(Jnl[[#This Row],[TrxId]], Trx[Id], Trx[Date],,0)</f>
        <v>46022</v>
      </c>
      <c r="C87" s="6" t="str">
        <f>_xlfn.XLOOKUP(Jnl[[#This Row],[TrxId]], Trx[Id], Trx[Division],,0)</f>
        <v>Ctrl</v>
      </c>
      <c r="D87" s="6" t="str">
        <f>_xlfn.XLOOKUP(Jnl[[#This Row],[TrxId]], Trx[Id], Trx[Action],,0)</f>
        <v>调整</v>
      </c>
      <c r="E87" s="30" t="s">
        <v>82</v>
      </c>
      <c r="F87" s="10" t="s">
        <v>169</v>
      </c>
      <c r="G87" s="10" t="s">
        <v>219</v>
      </c>
      <c r="H87" s="21">
        <v>7473076.1599999992</v>
      </c>
      <c r="I87" s="11" t="b">
        <f>AND(Jnl[[#This Row],[TrxId]]&lt;&gt;"",Jnl[[#This Row],[Acct]]&lt;&gt;"",Jnl[[#This Row],[Item]]&lt;&gt;"",ISNUMBER(Jnl[[#This Row],[Bal]]))</f>
        <v>1</v>
      </c>
      <c r="J87" s="9">
        <f>IF(Jnl[[#This Row],[BSLv0]]="A",1,-1)*Jnl[[#This Row],[Bal]]</f>
        <v>7473076.1599999992</v>
      </c>
      <c r="K87" t="str">
        <f>_xlfn.XLOOKUP(Jnl[[#This Row],[Acct]], config_BS[Acct], config_BS[Lv0],,0)</f>
        <v>A</v>
      </c>
      <c r="L87" t="str">
        <f>_xlfn.XLOOKUP(Jnl[[#This Row],[Acct]], config_BS[Acct], config_BS[Lv1],,0)</f>
        <v>Assets</v>
      </c>
      <c r="M87" t="str">
        <f>_xlfn.XLOOKUP(Jnl[[#This Row],[Acct]], config_BS[Acct], config_BS[Lv2],,0)</f>
        <v>Invtr</v>
      </c>
      <c r="N87" t="str">
        <f>_xlfn.XLOOKUP(Jnl[[#This Row],[TrxId]], Trx[Id], Trx[IncNode], ,0)</f>
        <v>Other</v>
      </c>
      <c r="O87" t="str">
        <f>_xlfn.XLOOKUP(Jnl[[#This Row],[IncNode]], config_IS[Node], config_IS[Type],,0)</f>
        <v>Non-Op</v>
      </c>
      <c r="P87" t="str">
        <f>_xlfn.XLOOKUP(Jnl[[#This Row],[BSLv2]], dict[Key], dict[Name],,0)</f>
        <v>3.库存占款</v>
      </c>
      <c r="Q87" t="str">
        <f>_xlfn.XLOOKUP(Jnl[[#This Row],[Acct]], dict[Key], dict[Name],,0)</f>
        <v>往期存货</v>
      </c>
      <c r="R87" t="str">
        <f>_xlfn.XLOOKUP(Jnl[[#This Row],[Vehicle]],config_vehicle[Id], config_vehicle[Name],,0)</f>
        <v>远家花园</v>
      </c>
      <c r="S87" t="str">
        <f>_xlfn.XLOOKUP(Jnl[[#This Row],[Division]],config_div[Id], config_div[Name],,0)</f>
        <v>内控合规</v>
      </c>
      <c r="T87" t="str">
        <f>IF(Jnl[[#This Row],[TrxDate]]&lt;=stmt_BS_date_end, "In", "Out")</f>
        <v>In</v>
      </c>
      <c r="U87" t="str">
        <f>IF(Jnl[[#This Row],[TrxDate]]&lt;debug_date_start, "prior", IF(Jnl[[#This Row],[TrxDate]]&gt;debug_date_end, "post", "curr"))</f>
        <v>prior</v>
      </c>
    </row>
    <row r="88" spans="1:21">
      <c r="A88" s="10" t="s">
        <v>250</v>
      </c>
      <c r="B88" s="6">
        <f>_xlfn.XLOOKUP(Jnl[[#This Row],[TrxId]], Trx[Id], Trx[Date],,0)</f>
        <v>46022</v>
      </c>
      <c r="C88" s="6" t="str">
        <f>_xlfn.XLOOKUP(Jnl[[#This Row],[TrxId]], Trx[Id], Trx[Division],,0)</f>
        <v>Ctrl</v>
      </c>
      <c r="D88" s="6" t="str">
        <f>_xlfn.XLOOKUP(Jnl[[#This Row],[TrxId]], Trx[Id], Trx[Action],,0)</f>
        <v>调整</v>
      </c>
      <c r="E88" s="30" t="s">
        <v>82</v>
      </c>
      <c r="F88" s="10" t="s">
        <v>18</v>
      </c>
      <c r="G88" s="10" t="s">
        <v>218</v>
      </c>
      <c r="H88" s="21">
        <v>2886067.4399999995</v>
      </c>
      <c r="I88" s="11" t="b">
        <f>AND(Jnl[[#This Row],[TrxId]]&lt;&gt;"",Jnl[[#This Row],[Acct]]&lt;&gt;"",Jnl[[#This Row],[Item]]&lt;&gt;"",ISNUMBER(Jnl[[#This Row],[Bal]]))</f>
        <v>1</v>
      </c>
      <c r="J88" s="9">
        <f>IF(Jnl[[#This Row],[BSLv0]]="A",1,-1)*Jnl[[#This Row],[Bal]]</f>
        <v>-2886067.4399999995</v>
      </c>
      <c r="K88" t="str">
        <f>_xlfn.XLOOKUP(Jnl[[#This Row],[Acct]], config_BS[Acct], config_BS[Lv0],,0)</f>
        <v>LC</v>
      </c>
      <c r="L88" t="str">
        <f>_xlfn.XLOOKUP(Jnl[[#This Row],[Acct]], config_BS[Acct], config_BS[Lv1],,0)</f>
        <v>Equity</v>
      </c>
      <c r="M88" t="str">
        <f>_xlfn.XLOOKUP(Jnl[[#This Row],[Acct]], config_BS[Acct], config_BS[Lv2],,0)</f>
        <v>Rsv</v>
      </c>
      <c r="N88" t="str">
        <f>_xlfn.XLOOKUP(Jnl[[#This Row],[TrxId]], Trx[Id], Trx[IncNode], ,0)</f>
        <v>Other</v>
      </c>
      <c r="O88" t="str">
        <f>_xlfn.XLOOKUP(Jnl[[#This Row],[IncNode]], config_IS[Node], config_IS[Type],,0)</f>
        <v>Non-Op</v>
      </c>
      <c r="P88" t="str">
        <f>_xlfn.XLOOKUP(Jnl[[#This Row],[BSLv2]], dict[Key], dict[Name],,0)</f>
        <v>9.蓄水池</v>
      </c>
      <c r="Q88" t="str">
        <f>_xlfn.XLOOKUP(Jnl[[#This Row],[Acct]], dict[Key], dict[Name],,0)</f>
        <v>可分配利润</v>
      </c>
      <c r="R88" t="str">
        <f>_xlfn.XLOOKUP(Jnl[[#This Row],[Vehicle]],config_vehicle[Id], config_vehicle[Name],,0)</f>
        <v>远家花园</v>
      </c>
      <c r="S88" t="str">
        <f>_xlfn.XLOOKUP(Jnl[[#This Row],[Division]],config_div[Id], config_div[Name],,0)</f>
        <v>内控合规</v>
      </c>
      <c r="T88" t="str">
        <f>IF(Jnl[[#This Row],[TrxDate]]&lt;=stmt_BS_date_end, "In", "Out")</f>
        <v>In</v>
      </c>
      <c r="U88" t="str">
        <f>IF(Jnl[[#This Row],[TrxDate]]&lt;debug_date_start, "prior", IF(Jnl[[#This Row],[TrxDate]]&gt;debug_date_end, "post", "curr"))</f>
        <v>prior</v>
      </c>
    </row>
    <row r="89" spans="1:21">
      <c r="A89" s="10" t="s">
        <v>251</v>
      </c>
      <c r="B89" s="6">
        <f>_xlfn.XLOOKUP(Jnl[[#This Row],[TrxId]], Trx[Id], Trx[Date],,0)</f>
        <v>46022</v>
      </c>
      <c r="C89" s="6" t="str">
        <f>_xlfn.XLOOKUP(Jnl[[#This Row],[TrxId]], Trx[Id], Trx[Division],,0)</f>
        <v>Ctrl</v>
      </c>
      <c r="D89" s="6" t="str">
        <f>_xlfn.XLOOKUP(Jnl[[#This Row],[TrxId]], Trx[Id], Trx[Action],,0)</f>
        <v>冲销</v>
      </c>
      <c r="E89" s="30" t="s">
        <v>82</v>
      </c>
      <c r="F89" s="10" t="s">
        <v>169</v>
      </c>
      <c r="G89" s="10" t="s">
        <v>226</v>
      </c>
      <c r="H89" s="21">
        <v>-7473076.1599999992</v>
      </c>
      <c r="I89" s="11" t="b">
        <f>AND(Jnl[[#This Row],[TrxId]]&lt;&gt;"",Jnl[[#This Row],[Acct]]&lt;&gt;"",Jnl[[#This Row],[Item]]&lt;&gt;"",ISNUMBER(Jnl[[#This Row],[Bal]]))</f>
        <v>1</v>
      </c>
      <c r="J89" s="9">
        <f>IF(Jnl[[#This Row],[BSLv0]]="A",1,-1)*Jnl[[#This Row],[Bal]]</f>
        <v>-7473076.1599999992</v>
      </c>
      <c r="K89" t="str">
        <f>_xlfn.XLOOKUP(Jnl[[#This Row],[Acct]], config_BS[Acct], config_BS[Lv0],,0)</f>
        <v>A</v>
      </c>
      <c r="L89" t="str">
        <f>_xlfn.XLOOKUP(Jnl[[#This Row],[Acct]], config_BS[Acct], config_BS[Lv1],,0)</f>
        <v>Assets</v>
      </c>
      <c r="M89" t="str">
        <f>_xlfn.XLOOKUP(Jnl[[#This Row],[Acct]], config_BS[Acct], config_BS[Lv2],,0)</f>
        <v>Invtr</v>
      </c>
      <c r="N89" t="str">
        <f>_xlfn.XLOOKUP(Jnl[[#This Row],[TrxId]], Trx[Id], Trx[IncNode], ,0)</f>
        <v>Other</v>
      </c>
      <c r="O89" t="str">
        <f>_xlfn.XLOOKUP(Jnl[[#This Row],[IncNode]], config_IS[Node], config_IS[Type],,0)</f>
        <v>Non-Op</v>
      </c>
      <c r="P89" t="str">
        <f>_xlfn.XLOOKUP(Jnl[[#This Row],[BSLv2]], dict[Key], dict[Name],,0)</f>
        <v>3.库存占款</v>
      </c>
      <c r="Q89" t="str">
        <f>_xlfn.XLOOKUP(Jnl[[#This Row],[Acct]], dict[Key], dict[Name],,0)</f>
        <v>往期存货</v>
      </c>
      <c r="R89" t="str">
        <f>_xlfn.XLOOKUP(Jnl[[#This Row],[Vehicle]],config_vehicle[Id], config_vehicle[Name],,0)</f>
        <v>远家花园</v>
      </c>
      <c r="S89" t="str">
        <f>_xlfn.XLOOKUP(Jnl[[#This Row],[Division]],config_div[Id], config_div[Name],,0)</f>
        <v>内控合规</v>
      </c>
      <c r="T89" t="str">
        <f>IF(Jnl[[#This Row],[TrxDate]]&lt;=stmt_BS_date_end, "In", "Out")</f>
        <v>In</v>
      </c>
      <c r="U89" t="str">
        <f>IF(Jnl[[#This Row],[TrxDate]]&lt;debug_date_start, "prior", IF(Jnl[[#This Row],[TrxDate]]&gt;debug_date_end, "post", "curr"))</f>
        <v>prior</v>
      </c>
    </row>
    <row r="90" spans="1:21">
      <c r="A90" s="10" t="s">
        <v>251</v>
      </c>
      <c r="B90" s="6">
        <f>_xlfn.XLOOKUP(Jnl[[#This Row],[TrxId]], Trx[Id], Trx[Date],,0)</f>
        <v>46022</v>
      </c>
      <c r="C90" s="6" t="str">
        <f>_xlfn.XLOOKUP(Jnl[[#This Row],[TrxId]], Trx[Id], Trx[Division],,0)</f>
        <v>Ctrl</v>
      </c>
      <c r="D90" s="6" t="str">
        <f>_xlfn.XLOOKUP(Jnl[[#This Row],[TrxId]], Trx[Id], Trx[Action],,0)</f>
        <v>冲销</v>
      </c>
      <c r="E90" s="30" t="s">
        <v>82</v>
      </c>
      <c r="F90" s="10" t="s">
        <v>18</v>
      </c>
      <c r="G90" s="10" t="s">
        <v>218</v>
      </c>
      <c r="H90" s="21">
        <v>-7473076.1599999992</v>
      </c>
      <c r="I90" s="11" t="b">
        <f>AND(Jnl[[#This Row],[TrxId]]&lt;&gt;"",Jnl[[#This Row],[Acct]]&lt;&gt;"",Jnl[[#This Row],[Item]]&lt;&gt;"",ISNUMBER(Jnl[[#This Row],[Bal]]))</f>
        <v>1</v>
      </c>
      <c r="J90" s="9">
        <f>IF(Jnl[[#This Row],[BSLv0]]="A",1,-1)*Jnl[[#This Row],[Bal]]</f>
        <v>7473076.1599999992</v>
      </c>
      <c r="K90" t="str">
        <f>_xlfn.XLOOKUP(Jnl[[#This Row],[Acct]], config_BS[Acct], config_BS[Lv0],,0)</f>
        <v>LC</v>
      </c>
      <c r="L90" t="str">
        <f>_xlfn.XLOOKUP(Jnl[[#This Row],[Acct]], config_BS[Acct], config_BS[Lv1],,0)</f>
        <v>Equity</v>
      </c>
      <c r="M90" t="str">
        <f>_xlfn.XLOOKUP(Jnl[[#This Row],[Acct]], config_BS[Acct], config_BS[Lv2],,0)</f>
        <v>Rsv</v>
      </c>
      <c r="N90" t="str">
        <f>_xlfn.XLOOKUP(Jnl[[#This Row],[TrxId]], Trx[Id], Trx[IncNode], ,0)</f>
        <v>Other</v>
      </c>
      <c r="O90" t="str">
        <f>_xlfn.XLOOKUP(Jnl[[#This Row],[IncNode]], config_IS[Node], config_IS[Type],,0)</f>
        <v>Non-Op</v>
      </c>
      <c r="P90" t="str">
        <f>_xlfn.XLOOKUP(Jnl[[#This Row],[BSLv2]], dict[Key], dict[Name],,0)</f>
        <v>9.蓄水池</v>
      </c>
      <c r="Q90" t="str">
        <f>_xlfn.XLOOKUP(Jnl[[#This Row],[Acct]], dict[Key], dict[Name],,0)</f>
        <v>可分配利润</v>
      </c>
      <c r="R90" t="str">
        <f>_xlfn.XLOOKUP(Jnl[[#This Row],[Vehicle]],config_vehicle[Id], config_vehicle[Name],,0)</f>
        <v>远家花园</v>
      </c>
      <c r="S90" t="str">
        <f>_xlfn.XLOOKUP(Jnl[[#This Row],[Division]],config_div[Id], config_div[Name],,0)</f>
        <v>内控合规</v>
      </c>
      <c r="T90" t="str">
        <f>IF(Jnl[[#This Row],[TrxDate]]&lt;=stmt_BS_date_end, "In", "Out")</f>
        <v>In</v>
      </c>
      <c r="U90" t="str">
        <f>IF(Jnl[[#This Row],[TrxDate]]&lt;debug_date_start, "prior", IF(Jnl[[#This Row],[TrxDate]]&gt;debug_date_end, "post", "curr"))</f>
        <v>prior</v>
      </c>
    </row>
    <row r="91" spans="1:21">
      <c r="A91" s="10" t="s">
        <v>266</v>
      </c>
      <c r="B91" s="6">
        <f>_xlfn.XLOOKUP(Jnl[[#This Row],[TrxId]], Trx[Id], Trx[Date],,0)</f>
        <v>46023</v>
      </c>
      <c r="C91" s="6" t="str">
        <f>_xlfn.XLOOKUP(Jnl[[#This Row],[TrxId]], Trx[Id], Trx[Division],,0)</f>
        <v>GM</v>
      </c>
      <c r="D91" s="6" t="str">
        <f>_xlfn.XLOOKUP(Jnl[[#This Row],[TrxId]], Trx[Id], Trx[Action],,0)</f>
        <v>报销</v>
      </c>
      <c r="E91" s="30" t="s">
        <v>87</v>
      </c>
      <c r="F91" s="10" t="s">
        <v>12</v>
      </c>
      <c r="G91" s="10" t="s">
        <v>92</v>
      </c>
      <c r="H91" s="21">
        <v>-481.6</v>
      </c>
      <c r="I91" s="11" t="b">
        <f>AND(Jnl[[#This Row],[TrxId]]&lt;&gt;"",Jnl[[#This Row],[Acct]]&lt;&gt;"",Jnl[[#This Row],[Item]]&lt;&gt;"",ISNUMBER(Jnl[[#This Row],[Bal]]))</f>
        <v>1</v>
      </c>
      <c r="J91" s="9">
        <f>IF(Jnl[[#This Row],[BSLv0]]="A",1,-1)*Jnl[[#This Row],[Bal]]</f>
        <v>-481.6</v>
      </c>
      <c r="K91" t="str">
        <f>_xlfn.XLOOKUP(Jnl[[#This Row],[Acct]], config_BS[Acct], config_BS[Lv0],,0)</f>
        <v>A</v>
      </c>
      <c r="L91" t="str">
        <f>_xlfn.XLOOKUP(Jnl[[#This Row],[Acct]], config_BS[Acct], config_BS[Lv1],,0)</f>
        <v>Assets</v>
      </c>
      <c r="M91" t="str">
        <f>_xlfn.XLOOKUP(Jnl[[#This Row],[Acct]], config_BS[Acct], config_BS[Lv2],,0)</f>
        <v>Cash alike</v>
      </c>
      <c r="N91" t="str">
        <f>_xlfn.XLOOKUP(Jnl[[#This Row],[TrxId]], Trx[Id], Trx[IncNode], ,0)</f>
        <v>Expense</v>
      </c>
      <c r="O91" t="str">
        <f>_xlfn.XLOOKUP(Jnl[[#This Row],[IncNode]], config_IS[Node], config_IS[Type],,0)</f>
        <v>Op</v>
      </c>
      <c r="P91" t="str">
        <f>_xlfn.XLOOKUP(Jnl[[#This Row],[BSLv2]], dict[Key], dict[Name],,0)</f>
        <v>0.现金及类似</v>
      </c>
      <c r="Q91" t="str">
        <f>_xlfn.XLOOKUP(Jnl[[#This Row],[Acct]], dict[Key], dict[Name],,0)</f>
        <v>银行</v>
      </c>
      <c r="R91" t="str">
        <f>_xlfn.XLOOKUP(Jnl[[#This Row],[Vehicle]],config_vehicle[Id], config_vehicle[Name],,0)</f>
        <v>桑木</v>
      </c>
      <c r="S91" t="str">
        <f>_xlfn.XLOOKUP(Jnl[[#This Row],[Division]],config_div[Id], config_div[Name],,0)</f>
        <v>综合管理</v>
      </c>
      <c r="T91" t="str">
        <f>IF(Jnl[[#This Row],[TrxDate]]&lt;=stmt_BS_date_end, "In", "Out")</f>
        <v>Out</v>
      </c>
      <c r="U91" t="str">
        <f>IF(Jnl[[#This Row],[TrxDate]]&lt;debug_date_start, "prior", IF(Jnl[[#This Row],[TrxDate]]&gt;debug_date_end, "post", "curr"))</f>
        <v>curr</v>
      </c>
    </row>
    <row r="92" spans="1:21">
      <c r="A92" s="10" t="s">
        <v>267</v>
      </c>
      <c r="B92" s="6">
        <f>_xlfn.XLOOKUP(Jnl[[#This Row],[TrxId]], Trx[Id], Trx[Date],,0)</f>
        <v>46027</v>
      </c>
      <c r="C92" s="6" t="str">
        <f>_xlfn.XLOOKUP(Jnl[[#This Row],[TrxId]], Trx[Id], Trx[Division],,0)</f>
        <v>Online</v>
      </c>
      <c r="D92" s="6" t="str">
        <f>_xlfn.XLOOKUP(Jnl[[#This Row],[TrxId]], Trx[Id], Trx[Action],,0)</f>
        <v>订购</v>
      </c>
      <c r="E92" s="30" t="s">
        <v>87</v>
      </c>
      <c r="F92" s="10" t="s">
        <v>118</v>
      </c>
      <c r="G92" s="10" t="s">
        <v>147</v>
      </c>
      <c r="H92" s="21">
        <v>38891.199999999997</v>
      </c>
      <c r="I92" s="11" t="b">
        <f>AND(Jnl[[#This Row],[TrxId]]&lt;&gt;"",Jnl[[#This Row],[Acct]]&lt;&gt;"",Jnl[[#This Row],[Item]]&lt;&gt;"",ISNUMBER(Jnl[[#This Row],[Bal]]))</f>
        <v>1</v>
      </c>
      <c r="J92" s="9">
        <f>IF(Jnl[[#This Row],[BSLv0]]="A",1,-1)*Jnl[[#This Row],[Bal]]</f>
        <v>38891.199999999997</v>
      </c>
      <c r="K92" t="str">
        <f>_xlfn.XLOOKUP(Jnl[[#This Row],[Acct]], config_BS[Acct], config_BS[Lv0],,0)</f>
        <v>A</v>
      </c>
      <c r="L92" t="str">
        <f>_xlfn.XLOOKUP(Jnl[[#This Row],[Acct]], config_BS[Acct], config_BS[Lv1],,0)</f>
        <v>Assets</v>
      </c>
      <c r="M92" t="str">
        <f>_xlfn.XLOOKUP(Jnl[[#This Row],[Acct]], config_BS[Acct], config_BS[Lv2],,0)</f>
        <v>Prep-Sub</v>
      </c>
      <c r="N92" t="str">
        <f>_xlfn.XLOOKUP(Jnl[[#This Row],[TrxId]], Trx[Id], Trx[IncNode], ,0)</f>
        <v>Cost</v>
      </c>
      <c r="O92" t="str">
        <f>_xlfn.XLOOKUP(Jnl[[#This Row],[IncNode]], config_IS[Node], config_IS[Type],,0)</f>
        <v>Op</v>
      </c>
      <c r="P92" t="str">
        <f>_xlfn.XLOOKUP(Jnl[[#This Row],[BSLv2]], dict[Key], dict[Name],,0)</f>
        <v>2.预付-订阅</v>
      </c>
      <c r="Q92" t="str">
        <f>_xlfn.XLOOKUP(Jnl[[#This Row],[Acct]], dict[Key], dict[Name],,0)</f>
        <v>订单</v>
      </c>
      <c r="R92" t="str">
        <f>_xlfn.XLOOKUP(Jnl[[#This Row],[Vehicle]],config_vehicle[Id], config_vehicle[Name],,0)</f>
        <v>桑木</v>
      </c>
      <c r="S92" t="str">
        <f>_xlfn.XLOOKUP(Jnl[[#This Row],[Division]],config_div[Id], config_div[Name],,0)</f>
        <v>网店</v>
      </c>
      <c r="T92" t="str">
        <f>IF(Jnl[[#This Row],[TrxDate]]&lt;=stmt_BS_date_end, "In", "Out")</f>
        <v>Out</v>
      </c>
      <c r="U92" t="str">
        <f>IF(Jnl[[#This Row],[TrxDate]]&lt;debug_date_start, "prior", IF(Jnl[[#This Row],[TrxDate]]&gt;debug_date_end, "post", "curr"))</f>
        <v>curr</v>
      </c>
    </row>
    <row r="93" spans="1:21">
      <c r="A93" s="10" t="s">
        <v>267</v>
      </c>
      <c r="B93" s="6">
        <f>_xlfn.XLOOKUP(Jnl[[#This Row],[TrxId]], Trx[Id], Trx[Date],,0)</f>
        <v>46027</v>
      </c>
      <c r="C93" s="6" t="str">
        <f>_xlfn.XLOOKUP(Jnl[[#This Row],[TrxId]], Trx[Id], Trx[Division],,0)</f>
        <v>Online</v>
      </c>
      <c r="D93" s="6" t="str">
        <f>_xlfn.XLOOKUP(Jnl[[#This Row],[TrxId]], Trx[Id], Trx[Action],,0)</f>
        <v>订购</v>
      </c>
      <c r="E93" s="30" t="s">
        <v>87</v>
      </c>
      <c r="F93" s="10" t="s">
        <v>12</v>
      </c>
      <c r="G93" s="10" t="s">
        <v>92</v>
      </c>
      <c r="H93" s="21">
        <v>-38891.199999999997</v>
      </c>
      <c r="I93" s="11" t="b">
        <f>AND(Jnl[[#This Row],[TrxId]]&lt;&gt;"",Jnl[[#This Row],[Acct]]&lt;&gt;"",Jnl[[#This Row],[Item]]&lt;&gt;"",ISNUMBER(Jnl[[#This Row],[Bal]]))</f>
        <v>1</v>
      </c>
      <c r="J93" s="9">
        <f>IF(Jnl[[#This Row],[BSLv0]]="A",1,-1)*Jnl[[#This Row],[Bal]]</f>
        <v>-38891.199999999997</v>
      </c>
      <c r="K93" t="str">
        <f>_xlfn.XLOOKUP(Jnl[[#This Row],[Acct]], config_BS[Acct], config_BS[Lv0],,0)</f>
        <v>A</v>
      </c>
      <c r="L93" t="str">
        <f>_xlfn.XLOOKUP(Jnl[[#This Row],[Acct]], config_BS[Acct], config_BS[Lv1],,0)</f>
        <v>Assets</v>
      </c>
      <c r="M93" t="str">
        <f>_xlfn.XLOOKUP(Jnl[[#This Row],[Acct]], config_BS[Acct], config_BS[Lv2],,0)</f>
        <v>Cash alike</v>
      </c>
      <c r="N93" t="str">
        <f>_xlfn.XLOOKUP(Jnl[[#This Row],[TrxId]], Trx[Id], Trx[IncNode], ,0)</f>
        <v>Cost</v>
      </c>
      <c r="O93" t="str">
        <f>_xlfn.XLOOKUP(Jnl[[#This Row],[IncNode]], config_IS[Node], config_IS[Type],,0)</f>
        <v>Op</v>
      </c>
      <c r="P93" t="str">
        <f>_xlfn.XLOOKUP(Jnl[[#This Row],[BSLv2]], dict[Key], dict[Name],,0)</f>
        <v>0.现金及类似</v>
      </c>
      <c r="Q93" t="str">
        <f>_xlfn.XLOOKUP(Jnl[[#This Row],[Acct]], dict[Key], dict[Name],,0)</f>
        <v>银行</v>
      </c>
      <c r="R93" t="str">
        <f>_xlfn.XLOOKUP(Jnl[[#This Row],[Vehicle]],config_vehicle[Id], config_vehicle[Name],,0)</f>
        <v>桑木</v>
      </c>
      <c r="S93" t="str">
        <f>_xlfn.XLOOKUP(Jnl[[#This Row],[Division]],config_div[Id], config_div[Name],,0)</f>
        <v>网店</v>
      </c>
      <c r="T93" t="str">
        <f>IF(Jnl[[#This Row],[TrxDate]]&lt;=stmt_BS_date_end, "In", "Out")</f>
        <v>Out</v>
      </c>
      <c r="U93" t="str">
        <f>IF(Jnl[[#This Row],[TrxDate]]&lt;debug_date_start, "prior", IF(Jnl[[#This Row],[TrxDate]]&gt;debug_date_end, "post", "curr"))</f>
        <v>curr</v>
      </c>
    </row>
    <row r="94" spans="1:21">
      <c r="A94" s="10" t="s">
        <v>268</v>
      </c>
      <c r="B94" s="6">
        <f>_xlfn.XLOOKUP(Jnl[[#This Row],[TrxId]], Trx[Id], Trx[Date],,0)</f>
        <v>46027</v>
      </c>
      <c r="C94" s="6" t="str">
        <f>_xlfn.XLOOKUP(Jnl[[#This Row],[TrxId]], Trx[Id], Trx[Division],,0)</f>
        <v>Online</v>
      </c>
      <c r="D94" s="6" t="str">
        <f>_xlfn.XLOOKUP(Jnl[[#This Row],[TrxId]], Trx[Id], Trx[Action],,0)</f>
        <v>入库</v>
      </c>
      <c r="E94" s="30" t="s">
        <v>87</v>
      </c>
      <c r="F94" s="10" t="s">
        <v>119</v>
      </c>
      <c r="G94" s="10" t="s">
        <v>154</v>
      </c>
      <c r="H94" s="21">
        <v>52967.199999999997</v>
      </c>
      <c r="I94" s="11" t="b">
        <f>AND(Jnl[[#This Row],[TrxId]]&lt;&gt;"",Jnl[[#This Row],[Acct]]&lt;&gt;"",Jnl[[#This Row],[Item]]&lt;&gt;"",ISNUMBER(Jnl[[#This Row],[Bal]]))</f>
        <v>1</v>
      </c>
      <c r="J94" s="9">
        <f>IF(Jnl[[#This Row],[BSLv0]]="A",1,-1)*Jnl[[#This Row],[Bal]]</f>
        <v>52967.199999999997</v>
      </c>
      <c r="K94" t="str">
        <f>_xlfn.XLOOKUP(Jnl[[#This Row],[Acct]], config_BS[Acct], config_BS[Lv0],,0)</f>
        <v>A</v>
      </c>
      <c r="L94" t="str">
        <f>_xlfn.XLOOKUP(Jnl[[#This Row],[Acct]], config_BS[Acct], config_BS[Lv1],,0)</f>
        <v>Assets</v>
      </c>
      <c r="M94" t="str">
        <f>_xlfn.XLOOKUP(Jnl[[#This Row],[Acct]], config_BS[Acct], config_BS[Lv2],,0)</f>
        <v>Invtr</v>
      </c>
      <c r="N94" t="str">
        <f>_xlfn.XLOOKUP(Jnl[[#This Row],[TrxId]], Trx[Id], Trx[IncNode], ,0)</f>
        <v>Cost</v>
      </c>
      <c r="O94" t="str">
        <f>_xlfn.XLOOKUP(Jnl[[#This Row],[IncNode]], config_IS[Node], config_IS[Type],,0)</f>
        <v>Op</v>
      </c>
      <c r="P94" t="str">
        <f>_xlfn.XLOOKUP(Jnl[[#This Row],[BSLv2]], dict[Key], dict[Name],,0)</f>
        <v>3.库存占款</v>
      </c>
      <c r="Q94" t="str">
        <f>_xlfn.XLOOKUP(Jnl[[#This Row],[Acct]], dict[Key], dict[Name],,0)</f>
        <v>当期存货</v>
      </c>
      <c r="R94" t="str">
        <f>_xlfn.XLOOKUP(Jnl[[#This Row],[Vehicle]],config_vehicle[Id], config_vehicle[Name],,0)</f>
        <v>桑木</v>
      </c>
      <c r="S94" t="str">
        <f>_xlfn.XLOOKUP(Jnl[[#This Row],[Division]],config_div[Id], config_div[Name],,0)</f>
        <v>网店</v>
      </c>
      <c r="T94" t="str">
        <f>IF(Jnl[[#This Row],[TrxDate]]&lt;=stmt_BS_date_end, "In", "Out")</f>
        <v>Out</v>
      </c>
      <c r="U94" t="str">
        <f>IF(Jnl[[#This Row],[TrxDate]]&lt;debug_date_start, "prior", IF(Jnl[[#This Row],[TrxDate]]&gt;debug_date_end, "post", "curr"))</f>
        <v>curr</v>
      </c>
    </row>
    <row r="95" spans="1:21">
      <c r="A95" s="10" t="s">
        <v>268</v>
      </c>
      <c r="B95" s="6">
        <f>_xlfn.XLOOKUP(Jnl[[#This Row],[TrxId]], Trx[Id], Trx[Date],,0)</f>
        <v>46027</v>
      </c>
      <c r="C95" s="6" t="str">
        <f>_xlfn.XLOOKUP(Jnl[[#This Row],[TrxId]], Trx[Id], Trx[Division],,0)</f>
        <v>Online</v>
      </c>
      <c r="D95" s="6" t="str">
        <f>_xlfn.XLOOKUP(Jnl[[#This Row],[TrxId]], Trx[Id], Trx[Action],,0)</f>
        <v>入库</v>
      </c>
      <c r="E95" s="30" t="s">
        <v>87</v>
      </c>
      <c r="F95" s="10" t="s">
        <v>118</v>
      </c>
      <c r="G95" s="10" t="s">
        <v>147</v>
      </c>
      <c r="H95" s="21">
        <v>-52967.199999999997</v>
      </c>
      <c r="I95" s="11" t="b">
        <f>AND(Jnl[[#This Row],[TrxId]]&lt;&gt;"",Jnl[[#This Row],[Acct]]&lt;&gt;"",Jnl[[#This Row],[Item]]&lt;&gt;"",ISNUMBER(Jnl[[#This Row],[Bal]]))</f>
        <v>1</v>
      </c>
      <c r="J95" s="9">
        <f>IF(Jnl[[#This Row],[BSLv0]]="A",1,-1)*Jnl[[#This Row],[Bal]]</f>
        <v>-52967.199999999997</v>
      </c>
      <c r="K95" t="str">
        <f>_xlfn.XLOOKUP(Jnl[[#This Row],[Acct]], config_BS[Acct], config_BS[Lv0],,0)</f>
        <v>A</v>
      </c>
      <c r="L95" t="str">
        <f>_xlfn.XLOOKUP(Jnl[[#This Row],[Acct]], config_BS[Acct], config_BS[Lv1],,0)</f>
        <v>Assets</v>
      </c>
      <c r="M95" t="str">
        <f>_xlfn.XLOOKUP(Jnl[[#This Row],[Acct]], config_BS[Acct], config_BS[Lv2],,0)</f>
        <v>Prep-Sub</v>
      </c>
      <c r="N95" t="str">
        <f>_xlfn.XLOOKUP(Jnl[[#This Row],[TrxId]], Trx[Id], Trx[IncNode], ,0)</f>
        <v>Cost</v>
      </c>
      <c r="O95" t="str">
        <f>_xlfn.XLOOKUP(Jnl[[#This Row],[IncNode]], config_IS[Node], config_IS[Type],,0)</f>
        <v>Op</v>
      </c>
      <c r="P95" t="str">
        <f>_xlfn.XLOOKUP(Jnl[[#This Row],[BSLv2]], dict[Key], dict[Name],,0)</f>
        <v>2.预付-订阅</v>
      </c>
      <c r="Q95" t="str">
        <f>_xlfn.XLOOKUP(Jnl[[#This Row],[Acct]], dict[Key], dict[Name],,0)</f>
        <v>订单</v>
      </c>
      <c r="R95" t="str">
        <f>_xlfn.XLOOKUP(Jnl[[#This Row],[Vehicle]],config_vehicle[Id], config_vehicle[Name],,0)</f>
        <v>桑木</v>
      </c>
      <c r="S95" t="str">
        <f>_xlfn.XLOOKUP(Jnl[[#This Row],[Division]],config_div[Id], config_div[Name],,0)</f>
        <v>网店</v>
      </c>
      <c r="T95" t="str">
        <f>IF(Jnl[[#This Row],[TrxDate]]&lt;=stmt_BS_date_end, "In", "Out")</f>
        <v>Out</v>
      </c>
      <c r="U95" t="str">
        <f>IF(Jnl[[#This Row],[TrxDate]]&lt;debug_date_start, "prior", IF(Jnl[[#This Row],[TrxDate]]&gt;debug_date_end, "post", "curr"))</f>
        <v>curr</v>
      </c>
    </row>
    <row r="96" spans="1:21">
      <c r="A96" s="10" t="s">
        <v>269</v>
      </c>
      <c r="B96" s="6">
        <f>_xlfn.XLOOKUP(Jnl[[#This Row],[TrxId]], Trx[Id], Trx[Date],,0)</f>
        <v>46028</v>
      </c>
      <c r="C96" s="6" t="str">
        <f>_xlfn.XLOOKUP(Jnl[[#This Row],[TrxId]], Trx[Id], Trx[Division],,0)</f>
        <v>GM</v>
      </c>
      <c r="D96" s="6" t="str">
        <f>_xlfn.XLOOKUP(Jnl[[#This Row],[TrxId]], Trx[Id], Trx[Action],,0)</f>
        <v>薪酬-个税</v>
      </c>
      <c r="E96" s="30" t="s">
        <v>87</v>
      </c>
      <c r="F96" s="10" t="s">
        <v>208</v>
      </c>
      <c r="G96" s="10" t="s">
        <v>141</v>
      </c>
      <c r="H96" s="21">
        <v>1431.45</v>
      </c>
      <c r="I96" s="11" t="b">
        <f>AND(Jnl[[#This Row],[TrxId]]&lt;&gt;"",Jnl[[#This Row],[Acct]]&lt;&gt;"",Jnl[[#This Row],[Item]]&lt;&gt;"",ISNUMBER(Jnl[[#This Row],[Bal]]))</f>
        <v>1</v>
      </c>
      <c r="J96" s="9">
        <f>IF(Jnl[[#This Row],[BSLv0]]="A",1,-1)*Jnl[[#This Row],[Bal]]</f>
        <v>1431.45</v>
      </c>
      <c r="K96" t="str">
        <f>_xlfn.XLOOKUP(Jnl[[#This Row],[Acct]], config_BS[Acct], config_BS[Lv0],,0)</f>
        <v>A</v>
      </c>
      <c r="L96" t="str">
        <f>_xlfn.XLOOKUP(Jnl[[#This Row],[Acct]], config_BS[Acct], config_BS[Lv1],,0)</f>
        <v>Assets</v>
      </c>
      <c r="M96" t="str">
        <f>_xlfn.XLOOKUP(Jnl[[#This Row],[Acct]], config_BS[Acct], config_BS[Lv2],,0)</f>
        <v>Rec-Pay</v>
      </c>
      <c r="N96" t="str">
        <f>_xlfn.XLOOKUP(Jnl[[#This Row],[TrxId]], Trx[Id], Trx[IncNode], ,0)</f>
        <v>Expense</v>
      </c>
      <c r="O96" t="str">
        <f>_xlfn.XLOOKUP(Jnl[[#This Row],[IncNode]], config_IS[Node], config_IS[Type],,0)</f>
        <v>Op</v>
      </c>
      <c r="P96" t="str">
        <f>_xlfn.XLOOKUP(Jnl[[#This Row],[BSLv2]], dict[Key], dict[Name],,0)</f>
        <v>1.应收-应付</v>
      </c>
      <c r="Q96" t="str">
        <f>_xlfn.XLOOKUP(Jnl[[#This Row],[Acct]], dict[Key], dict[Name],,0)</f>
        <v>应收-其他</v>
      </c>
      <c r="R96" t="str">
        <f>_xlfn.XLOOKUP(Jnl[[#This Row],[Vehicle]],config_vehicle[Id], config_vehicle[Name],,0)</f>
        <v>桑木</v>
      </c>
      <c r="S96" t="str">
        <f>_xlfn.XLOOKUP(Jnl[[#This Row],[Division]],config_div[Id], config_div[Name],,0)</f>
        <v>综合管理</v>
      </c>
      <c r="T96" t="str">
        <f>IF(Jnl[[#This Row],[TrxDate]]&lt;=stmt_BS_date_end, "In", "Out")</f>
        <v>Out</v>
      </c>
      <c r="U96" t="str">
        <f>IF(Jnl[[#This Row],[TrxDate]]&lt;debug_date_start, "prior", IF(Jnl[[#This Row],[TrxDate]]&gt;debug_date_end, "post", "curr"))</f>
        <v>curr</v>
      </c>
    </row>
    <row r="97" spans="1:21">
      <c r="A97" s="10" t="s">
        <v>269</v>
      </c>
      <c r="B97" s="6">
        <f>_xlfn.XLOOKUP(Jnl[[#This Row],[TrxId]], Trx[Id], Trx[Date],,0)</f>
        <v>46028</v>
      </c>
      <c r="C97" s="6" t="str">
        <f>_xlfn.XLOOKUP(Jnl[[#This Row],[TrxId]], Trx[Id], Trx[Division],,0)</f>
        <v>GM</v>
      </c>
      <c r="D97" s="6" t="str">
        <f>_xlfn.XLOOKUP(Jnl[[#This Row],[TrxId]], Trx[Id], Trx[Action],,0)</f>
        <v>薪酬-个税</v>
      </c>
      <c r="E97" s="30" t="s">
        <v>87</v>
      </c>
      <c r="F97" s="10" t="s">
        <v>12</v>
      </c>
      <c r="G97" s="10" t="s">
        <v>92</v>
      </c>
      <c r="H97" s="21">
        <v>-4913.7299999999996</v>
      </c>
      <c r="I97" s="11" t="b">
        <f>AND(Jnl[[#This Row],[TrxId]]&lt;&gt;"",Jnl[[#This Row],[Acct]]&lt;&gt;"",Jnl[[#This Row],[Item]]&lt;&gt;"",ISNUMBER(Jnl[[#This Row],[Bal]]))</f>
        <v>1</v>
      </c>
      <c r="J97" s="9">
        <f>IF(Jnl[[#This Row],[BSLv0]]="A",1,-1)*Jnl[[#This Row],[Bal]]</f>
        <v>-4913.7299999999996</v>
      </c>
      <c r="K97" t="str">
        <f>_xlfn.XLOOKUP(Jnl[[#This Row],[Acct]], config_BS[Acct], config_BS[Lv0],,0)</f>
        <v>A</v>
      </c>
      <c r="L97" t="str">
        <f>_xlfn.XLOOKUP(Jnl[[#This Row],[Acct]], config_BS[Acct], config_BS[Lv1],,0)</f>
        <v>Assets</v>
      </c>
      <c r="M97" t="str">
        <f>_xlfn.XLOOKUP(Jnl[[#This Row],[Acct]], config_BS[Acct], config_BS[Lv2],,0)</f>
        <v>Cash alike</v>
      </c>
      <c r="N97" t="str">
        <f>_xlfn.XLOOKUP(Jnl[[#This Row],[TrxId]], Trx[Id], Trx[IncNode], ,0)</f>
        <v>Expense</v>
      </c>
      <c r="O97" t="str">
        <f>_xlfn.XLOOKUP(Jnl[[#This Row],[IncNode]], config_IS[Node], config_IS[Type],,0)</f>
        <v>Op</v>
      </c>
      <c r="P97" t="str">
        <f>_xlfn.XLOOKUP(Jnl[[#This Row],[BSLv2]], dict[Key], dict[Name],,0)</f>
        <v>0.现金及类似</v>
      </c>
      <c r="Q97" t="str">
        <f>_xlfn.XLOOKUP(Jnl[[#This Row],[Acct]], dict[Key], dict[Name],,0)</f>
        <v>银行</v>
      </c>
      <c r="R97" t="str">
        <f>_xlfn.XLOOKUP(Jnl[[#This Row],[Vehicle]],config_vehicle[Id], config_vehicle[Name],,0)</f>
        <v>桑木</v>
      </c>
      <c r="S97" t="str">
        <f>_xlfn.XLOOKUP(Jnl[[#This Row],[Division]],config_div[Id], config_div[Name],,0)</f>
        <v>综合管理</v>
      </c>
      <c r="T97" t="str">
        <f>IF(Jnl[[#This Row],[TrxDate]]&lt;=stmt_BS_date_end, "In", "Out")</f>
        <v>Out</v>
      </c>
      <c r="U97" t="str">
        <f>IF(Jnl[[#This Row],[TrxDate]]&lt;debug_date_start, "prior", IF(Jnl[[#This Row],[TrxDate]]&gt;debug_date_end, "post", "curr"))</f>
        <v>curr</v>
      </c>
    </row>
    <row r="98" spans="1:21">
      <c r="A98" s="10" t="s">
        <v>270</v>
      </c>
      <c r="B98" s="6">
        <f>_xlfn.XLOOKUP(Jnl[[#This Row],[TrxId]], Trx[Id], Trx[Date],,0)</f>
        <v>46029</v>
      </c>
      <c r="C98" s="6" t="str">
        <f>_xlfn.XLOOKUP(Jnl[[#This Row],[TrxId]], Trx[Id], Trx[Division],,0)</f>
        <v>Ctrl</v>
      </c>
      <c r="D98" s="6" t="str">
        <f>_xlfn.XLOOKUP(Jnl[[#This Row],[TrxId]], Trx[Id], Trx[Action],,0)</f>
        <v>过账</v>
      </c>
      <c r="E98" s="30" t="s">
        <v>87</v>
      </c>
      <c r="F98" s="10" t="s">
        <v>12</v>
      </c>
      <c r="G98" s="10" t="s">
        <v>92</v>
      </c>
      <c r="H98" s="21">
        <v>-1800</v>
      </c>
      <c r="I98" s="11" t="b">
        <f>AND(Jnl[[#This Row],[TrxId]]&lt;&gt;"",Jnl[[#This Row],[Acct]]&lt;&gt;"",Jnl[[#This Row],[Item]]&lt;&gt;"",ISNUMBER(Jnl[[#This Row],[Bal]]))</f>
        <v>1</v>
      </c>
      <c r="J98" s="9">
        <f>IF(Jnl[[#This Row],[BSLv0]]="A",1,-1)*Jnl[[#This Row],[Bal]]</f>
        <v>-1800</v>
      </c>
      <c r="K98" t="str">
        <f>_xlfn.XLOOKUP(Jnl[[#This Row],[Acct]], config_BS[Acct], config_BS[Lv0],,0)</f>
        <v>A</v>
      </c>
      <c r="L98" t="str">
        <f>_xlfn.XLOOKUP(Jnl[[#This Row],[Acct]], config_BS[Acct], config_BS[Lv1],,0)</f>
        <v>Assets</v>
      </c>
      <c r="M98" t="str">
        <f>_xlfn.XLOOKUP(Jnl[[#This Row],[Acct]], config_BS[Acct], config_BS[Lv2],,0)</f>
        <v>Cash alike</v>
      </c>
      <c r="N98" t="str">
        <f>_xlfn.XLOOKUP(Jnl[[#This Row],[TrxId]], Trx[Id], Trx[IncNode], ,0)</f>
        <v>Other</v>
      </c>
      <c r="O98" t="str">
        <f>_xlfn.XLOOKUP(Jnl[[#This Row],[IncNode]], config_IS[Node], config_IS[Type],,0)</f>
        <v>Non-Op</v>
      </c>
      <c r="P98" t="str">
        <f>_xlfn.XLOOKUP(Jnl[[#This Row],[BSLv2]], dict[Key], dict[Name],,0)</f>
        <v>0.现金及类似</v>
      </c>
      <c r="Q98" t="str">
        <f>_xlfn.XLOOKUP(Jnl[[#This Row],[Acct]], dict[Key], dict[Name],,0)</f>
        <v>银行</v>
      </c>
      <c r="R98" t="str">
        <f>_xlfn.XLOOKUP(Jnl[[#This Row],[Vehicle]],config_vehicle[Id], config_vehicle[Name],,0)</f>
        <v>桑木</v>
      </c>
      <c r="S98" t="str">
        <f>_xlfn.XLOOKUP(Jnl[[#This Row],[Division]],config_div[Id], config_div[Name],,0)</f>
        <v>内控合规</v>
      </c>
      <c r="T98" t="str">
        <f>IF(Jnl[[#This Row],[TrxDate]]&lt;=stmt_BS_date_end, "In", "Out")</f>
        <v>Out</v>
      </c>
      <c r="U98" t="str">
        <f>IF(Jnl[[#This Row],[TrxDate]]&lt;debug_date_start, "prior", IF(Jnl[[#This Row],[TrxDate]]&gt;debug_date_end, "post", "curr"))</f>
        <v>curr</v>
      </c>
    </row>
    <row r="99" spans="1:21">
      <c r="A99" s="10" t="s">
        <v>270</v>
      </c>
      <c r="B99" s="6">
        <f>_xlfn.XLOOKUP(Jnl[[#This Row],[TrxId]], Trx[Id], Trx[Date],,0)</f>
        <v>46029</v>
      </c>
      <c r="C99" s="6" t="str">
        <f>_xlfn.XLOOKUP(Jnl[[#This Row],[TrxId]], Trx[Id], Trx[Division],,0)</f>
        <v>Ctrl</v>
      </c>
      <c r="D99" s="6" t="str">
        <f>_xlfn.XLOOKUP(Jnl[[#This Row],[TrxId]], Trx[Id], Trx[Action],,0)</f>
        <v>过账</v>
      </c>
      <c r="E99" s="30" t="s">
        <v>95</v>
      </c>
      <c r="F99" s="10" t="s">
        <v>12</v>
      </c>
      <c r="G99" s="41" t="s">
        <v>91</v>
      </c>
      <c r="H99" s="21"/>
      <c r="I99" s="11" t="b">
        <f>AND(Jnl[[#This Row],[TrxId]]&lt;&gt;"",Jnl[[#This Row],[Acct]]&lt;&gt;"",Jnl[[#This Row],[Item]]&lt;&gt;"",ISNUMBER(Jnl[[#This Row],[Bal]]))</f>
        <v>0</v>
      </c>
      <c r="J99" s="9">
        <f>IF(Jnl[[#This Row],[BSLv0]]="A",1,-1)*Jnl[[#This Row],[Bal]]</f>
        <v>0</v>
      </c>
      <c r="K99" t="str">
        <f>_xlfn.XLOOKUP(Jnl[[#This Row],[Acct]], config_BS[Acct], config_BS[Lv0],,0)</f>
        <v>A</v>
      </c>
      <c r="L99" t="str">
        <f>_xlfn.XLOOKUP(Jnl[[#This Row],[Acct]], config_BS[Acct], config_BS[Lv1],,0)</f>
        <v>Assets</v>
      </c>
      <c r="M99" t="str">
        <f>_xlfn.XLOOKUP(Jnl[[#This Row],[Acct]], config_BS[Acct], config_BS[Lv2],,0)</f>
        <v>Cash alike</v>
      </c>
      <c r="N99" t="str">
        <f>_xlfn.XLOOKUP(Jnl[[#This Row],[TrxId]], Trx[Id], Trx[IncNode], ,0)</f>
        <v>Other</v>
      </c>
      <c r="O99" t="str">
        <f>_xlfn.XLOOKUP(Jnl[[#This Row],[IncNode]], config_IS[Node], config_IS[Type],,0)</f>
        <v>Non-Op</v>
      </c>
      <c r="P99" s="42" t="str">
        <f>_xlfn.XLOOKUP(Jnl[[#This Row],[BSLv2]], dict[Key], dict[Name],,0)</f>
        <v>0.现金及类似</v>
      </c>
      <c r="Q99" s="42" t="str">
        <f>_xlfn.XLOOKUP(Jnl[[#This Row],[Acct]], dict[Key], dict[Name],,0)</f>
        <v>银行</v>
      </c>
      <c r="R99" s="42" t="str">
        <f>_xlfn.XLOOKUP(Jnl[[#This Row],[Vehicle]],config_vehicle[Id], config_vehicle[Name],,0)</f>
        <v>创业园-琦</v>
      </c>
      <c r="S99" s="42" t="str">
        <f>_xlfn.XLOOKUP(Jnl[[#This Row],[Division]],config_div[Id], config_div[Name],,0)</f>
        <v>内控合规</v>
      </c>
      <c r="T99" s="42" t="str">
        <f>IF(Jnl[[#This Row],[TrxDate]]&lt;=stmt_BS_date_end, "In", "Out")</f>
        <v>Out</v>
      </c>
      <c r="U99" s="42" t="str">
        <f>IF(Jnl[[#This Row],[TrxDate]]&lt;debug_date_start, "prior", IF(Jnl[[#This Row],[TrxDate]]&gt;debug_date_end, "post", "curr"))</f>
        <v>curr</v>
      </c>
    </row>
    <row r="100" spans="1:21">
      <c r="A100" s="10" t="s">
        <v>271</v>
      </c>
      <c r="B100" s="6">
        <f>_xlfn.XLOOKUP(Jnl[[#This Row],[TrxId]], Trx[Id], Trx[Date],,0)</f>
        <v>46029</v>
      </c>
      <c r="C100" s="6" t="str">
        <f>_xlfn.XLOOKUP(Jnl[[#This Row],[TrxId]], Trx[Id], Trx[Division],,0)</f>
        <v>Online</v>
      </c>
      <c r="D100" s="6" t="str">
        <f>_xlfn.XLOOKUP(Jnl[[#This Row],[TrxId]], Trx[Id], Trx[Action],,0)</f>
        <v>订购</v>
      </c>
      <c r="E100" s="30" t="s">
        <v>87</v>
      </c>
      <c r="F100" s="10" t="s">
        <v>118</v>
      </c>
      <c r="G100" s="10" t="s">
        <v>147</v>
      </c>
      <c r="H100" s="21">
        <v>33000</v>
      </c>
      <c r="I100" s="11" t="b">
        <f>AND(Jnl[[#This Row],[TrxId]]&lt;&gt;"",Jnl[[#This Row],[Acct]]&lt;&gt;"",Jnl[[#This Row],[Item]]&lt;&gt;"",ISNUMBER(Jnl[[#This Row],[Bal]]))</f>
        <v>1</v>
      </c>
      <c r="J100" s="9">
        <f>IF(Jnl[[#This Row],[BSLv0]]="A",1,-1)*Jnl[[#This Row],[Bal]]</f>
        <v>33000</v>
      </c>
      <c r="K100" t="str">
        <f>_xlfn.XLOOKUP(Jnl[[#This Row],[Acct]], config_BS[Acct], config_BS[Lv0],,0)</f>
        <v>A</v>
      </c>
      <c r="L100" t="str">
        <f>_xlfn.XLOOKUP(Jnl[[#This Row],[Acct]], config_BS[Acct], config_BS[Lv1],,0)</f>
        <v>Assets</v>
      </c>
      <c r="M100" t="str">
        <f>_xlfn.XLOOKUP(Jnl[[#This Row],[Acct]], config_BS[Acct], config_BS[Lv2],,0)</f>
        <v>Prep-Sub</v>
      </c>
      <c r="N100" t="str">
        <f>_xlfn.XLOOKUP(Jnl[[#This Row],[TrxId]], Trx[Id], Trx[IncNode], ,0)</f>
        <v>Cost</v>
      </c>
      <c r="O100" t="str">
        <f>_xlfn.XLOOKUP(Jnl[[#This Row],[IncNode]], config_IS[Node], config_IS[Type],,0)</f>
        <v>Op</v>
      </c>
      <c r="P100" t="str">
        <f>_xlfn.XLOOKUP(Jnl[[#This Row],[BSLv2]], dict[Key], dict[Name],,0)</f>
        <v>2.预付-订阅</v>
      </c>
      <c r="Q100" t="str">
        <f>_xlfn.XLOOKUP(Jnl[[#This Row],[Acct]], dict[Key], dict[Name],,0)</f>
        <v>订单</v>
      </c>
      <c r="R100" t="str">
        <f>_xlfn.XLOOKUP(Jnl[[#This Row],[Vehicle]],config_vehicle[Id], config_vehicle[Name],,0)</f>
        <v>桑木</v>
      </c>
      <c r="S100" t="str">
        <f>_xlfn.XLOOKUP(Jnl[[#This Row],[Division]],config_div[Id], config_div[Name],,0)</f>
        <v>网店</v>
      </c>
      <c r="T100" t="str">
        <f>IF(Jnl[[#This Row],[TrxDate]]&lt;=stmt_BS_date_end, "In", "Out")</f>
        <v>Out</v>
      </c>
      <c r="U100" t="str">
        <f>IF(Jnl[[#This Row],[TrxDate]]&lt;debug_date_start, "prior", IF(Jnl[[#This Row],[TrxDate]]&gt;debug_date_end, "post", "curr"))</f>
        <v>curr</v>
      </c>
    </row>
    <row r="101" spans="1:21">
      <c r="A101" s="10" t="s">
        <v>271</v>
      </c>
      <c r="B101" s="6">
        <f>_xlfn.XLOOKUP(Jnl[[#This Row],[TrxId]], Trx[Id], Trx[Date],,0)</f>
        <v>46029</v>
      </c>
      <c r="C101" s="6" t="str">
        <f>_xlfn.XLOOKUP(Jnl[[#This Row],[TrxId]], Trx[Id], Trx[Division],,0)</f>
        <v>Online</v>
      </c>
      <c r="D101" s="6" t="str">
        <f>_xlfn.XLOOKUP(Jnl[[#This Row],[TrxId]], Trx[Id], Trx[Action],,0)</f>
        <v>订购</v>
      </c>
      <c r="E101" s="30" t="s">
        <v>87</v>
      </c>
      <c r="F101" s="10" t="s">
        <v>12</v>
      </c>
      <c r="G101" s="10" t="s">
        <v>92</v>
      </c>
      <c r="H101" s="21">
        <v>-33000</v>
      </c>
      <c r="I101" s="11" t="b">
        <f>AND(Jnl[[#This Row],[TrxId]]&lt;&gt;"",Jnl[[#This Row],[Acct]]&lt;&gt;"",Jnl[[#This Row],[Item]]&lt;&gt;"",ISNUMBER(Jnl[[#This Row],[Bal]]))</f>
        <v>1</v>
      </c>
      <c r="J101" s="9">
        <f>IF(Jnl[[#This Row],[BSLv0]]="A",1,-1)*Jnl[[#This Row],[Bal]]</f>
        <v>-33000</v>
      </c>
      <c r="K101" t="str">
        <f>_xlfn.XLOOKUP(Jnl[[#This Row],[Acct]], config_BS[Acct], config_BS[Lv0],,0)</f>
        <v>A</v>
      </c>
      <c r="L101" t="str">
        <f>_xlfn.XLOOKUP(Jnl[[#This Row],[Acct]], config_BS[Acct], config_BS[Lv1],,0)</f>
        <v>Assets</v>
      </c>
      <c r="M101" t="str">
        <f>_xlfn.XLOOKUP(Jnl[[#This Row],[Acct]], config_BS[Acct], config_BS[Lv2],,0)</f>
        <v>Cash alike</v>
      </c>
      <c r="N101" t="str">
        <f>_xlfn.XLOOKUP(Jnl[[#This Row],[TrxId]], Trx[Id], Trx[IncNode], ,0)</f>
        <v>Cost</v>
      </c>
      <c r="O101" t="str">
        <f>_xlfn.XLOOKUP(Jnl[[#This Row],[IncNode]], config_IS[Node], config_IS[Type],,0)</f>
        <v>Op</v>
      </c>
      <c r="P101" t="str">
        <f>_xlfn.XLOOKUP(Jnl[[#This Row],[BSLv2]], dict[Key], dict[Name],,0)</f>
        <v>0.现金及类似</v>
      </c>
      <c r="Q101" t="str">
        <f>_xlfn.XLOOKUP(Jnl[[#This Row],[Acct]], dict[Key], dict[Name],,0)</f>
        <v>银行</v>
      </c>
      <c r="R101" t="str">
        <f>_xlfn.XLOOKUP(Jnl[[#This Row],[Vehicle]],config_vehicle[Id], config_vehicle[Name],,0)</f>
        <v>桑木</v>
      </c>
      <c r="S101" t="str">
        <f>_xlfn.XLOOKUP(Jnl[[#This Row],[Division]],config_div[Id], config_div[Name],,0)</f>
        <v>网店</v>
      </c>
      <c r="T101" t="str">
        <f>IF(Jnl[[#This Row],[TrxDate]]&lt;=stmt_BS_date_end, "In", "Out")</f>
        <v>Out</v>
      </c>
      <c r="U101" t="str">
        <f>IF(Jnl[[#This Row],[TrxDate]]&lt;debug_date_start, "prior", IF(Jnl[[#This Row],[TrxDate]]&gt;debug_date_end, "post", "curr"))</f>
        <v>curr</v>
      </c>
    </row>
    <row r="102" spans="1:21">
      <c r="A102" s="10" t="s">
        <v>272</v>
      </c>
      <c r="B102" s="6">
        <f>_xlfn.XLOOKUP(Jnl[[#This Row],[TrxId]], Trx[Id], Trx[Date],,0)</f>
        <v>46034</v>
      </c>
      <c r="C102" s="6" t="str">
        <f>_xlfn.XLOOKUP(Jnl[[#This Row],[TrxId]], Trx[Id], Trx[Division],,0)</f>
        <v>Ctrl</v>
      </c>
      <c r="D102" s="6" t="str">
        <f>_xlfn.XLOOKUP(Jnl[[#This Row],[TrxId]], Trx[Id], Trx[Action],,0)</f>
        <v>支付</v>
      </c>
      <c r="E102" s="30" t="s">
        <v>87</v>
      </c>
      <c r="F102" s="10" t="s">
        <v>130</v>
      </c>
      <c r="G102" s="10" t="s">
        <v>317</v>
      </c>
      <c r="H102" s="21">
        <v>-40000</v>
      </c>
      <c r="I102" s="11" t="b">
        <f>AND(Jnl[[#This Row],[TrxId]]&lt;&gt;"",Jnl[[#This Row],[Acct]]&lt;&gt;"",Jnl[[#This Row],[Item]]&lt;&gt;"",ISNUMBER(Jnl[[#This Row],[Bal]]))</f>
        <v>1</v>
      </c>
      <c r="J102" s="9">
        <f>IF(Jnl[[#This Row],[BSLv0]]="A",1,-1)*Jnl[[#This Row],[Bal]]</f>
        <v>40000</v>
      </c>
      <c r="K102" t="str">
        <f>_xlfn.XLOOKUP(Jnl[[#This Row],[Acct]], config_BS[Acct], config_BS[Lv0],,0)</f>
        <v>LC</v>
      </c>
      <c r="L102" t="str">
        <f>_xlfn.XLOOKUP(Jnl[[#This Row],[Acct]], config_BS[Acct], config_BS[Lv1],,0)</f>
        <v>Liability</v>
      </c>
      <c r="M102" t="str">
        <f>_xlfn.XLOOKUP(Jnl[[#This Row],[Acct]], config_BS[Acct], config_BS[Lv2],,0)</f>
        <v>Rec-Pay</v>
      </c>
      <c r="N102" t="str">
        <f>_xlfn.XLOOKUP(Jnl[[#This Row],[TrxId]], Trx[Id], Trx[IncNode], ,0)</f>
        <v>Expense</v>
      </c>
      <c r="O102" t="str">
        <f>_xlfn.XLOOKUP(Jnl[[#This Row],[IncNode]], config_IS[Node], config_IS[Type],,0)</f>
        <v>Op</v>
      </c>
      <c r="P102" t="str">
        <f>_xlfn.XLOOKUP(Jnl[[#This Row],[BSLv2]], dict[Key], dict[Name],,0)</f>
        <v>1.应收-应付</v>
      </c>
      <c r="Q102" t="str">
        <f>_xlfn.XLOOKUP(Jnl[[#This Row],[Acct]], dict[Key], dict[Name],,0)</f>
        <v>应付-税款</v>
      </c>
      <c r="R102" t="str">
        <f>_xlfn.XLOOKUP(Jnl[[#This Row],[Vehicle]],config_vehicle[Id], config_vehicle[Name],,0)</f>
        <v>桑木</v>
      </c>
      <c r="S102" t="str">
        <f>_xlfn.XLOOKUP(Jnl[[#This Row],[Division]],config_div[Id], config_div[Name],,0)</f>
        <v>内控合规</v>
      </c>
      <c r="T102" t="str">
        <f>IF(Jnl[[#This Row],[TrxDate]]&lt;=stmt_BS_date_end, "In", "Out")</f>
        <v>Out</v>
      </c>
      <c r="U102" t="str">
        <f>IF(Jnl[[#This Row],[TrxDate]]&lt;debug_date_start, "prior", IF(Jnl[[#This Row],[TrxDate]]&gt;debug_date_end, "post", "curr"))</f>
        <v>curr</v>
      </c>
    </row>
    <row r="103" spans="1:21">
      <c r="A103" s="10" t="s">
        <v>272</v>
      </c>
      <c r="B103" s="6">
        <f>_xlfn.XLOOKUP(Jnl[[#This Row],[TrxId]], Trx[Id], Trx[Date],,0)</f>
        <v>46034</v>
      </c>
      <c r="C103" s="6" t="str">
        <f>_xlfn.XLOOKUP(Jnl[[#This Row],[TrxId]], Trx[Id], Trx[Division],,0)</f>
        <v>Ctrl</v>
      </c>
      <c r="D103" s="6" t="str">
        <f>_xlfn.XLOOKUP(Jnl[[#This Row],[TrxId]], Trx[Id], Trx[Action],,0)</f>
        <v>支付</v>
      </c>
      <c r="E103" s="30" t="s">
        <v>87</v>
      </c>
      <c r="F103" s="10" t="s">
        <v>12</v>
      </c>
      <c r="G103" s="10" t="s">
        <v>92</v>
      </c>
      <c r="H103" s="21">
        <v>-40000</v>
      </c>
      <c r="I103" s="11" t="b">
        <f>AND(Jnl[[#This Row],[TrxId]]&lt;&gt;"",Jnl[[#This Row],[Acct]]&lt;&gt;"",Jnl[[#This Row],[Item]]&lt;&gt;"",ISNUMBER(Jnl[[#This Row],[Bal]]))</f>
        <v>1</v>
      </c>
      <c r="J103" s="9">
        <f>IF(Jnl[[#This Row],[BSLv0]]="A",1,-1)*Jnl[[#This Row],[Bal]]</f>
        <v>-40000</v>
      </c>
      <c r="K103" t="str">
        <f>_xlfn.XLOOKUP(Jnl[[#This Row],[Acct]], config_BS[Acct], config_BS[Lv0],,0)</f>
        <v>A</v>
      </c>
      <c r="L103" t="str">
        <f>_xlfn.XLOOKUP(Jnl[[#This Row],[Acct]], config_BS[Acct], config_BS[Lv1],,0)</f>
        <v>Assets</v>
      </c>
      <c r="M103" t="str">
        <f>_xlfn.XLOOKUP(Jnl[[#This Row],[Acct]], config_BS[Acct], config_BS[Lv2],,0)</f>
        <v>Cash alike</v>
      </c>
      <c r="N103" t="str">
        <f>_xlfn.XLOOKUP(Jnl[[#This Row],[TrxId]], Trx[Id], Trx[IncNode], ,0)</f>
        <v>Expense</v>
      </c>
      <c r="O103" t="str">
        <f>_xlfn.XLOOKUP(Jnl[[#This Row],[IncNode]], config_IS[Node], config_IS[Type],,0)</f>
        <v>Op</v>
      </c>
      <c r="P103" t="str">
        <f>_xlfn.XLOOKUP(Jnl[[#This Row],[BSLv2]], dict[Key], dict[Name],,0)</f>
        <v>0.现金及类似</v>
      </c>
      <c r="Q103" t="str">
        <f>_xlfn.XLOOKUP(Jnl[[#This Row],[Acct]], dict[Key], dict[Name],,0)</f>
        <v>银行</v>
      </c>
      <c r="R103" t="str">
        <f>_xlfn.XLOOKUP(Jnl[[#This Row],[Vehicle]],config_vehicle[Id], config_vehicle[Name],,0)</f>
        <v>桑木</v>
      </c>
      <c r="S103" t="str">
        <f>_xlfn.XLOOKUP(Jnl[[#This Row],[Division]],config_div[Id], config_div[Name],,0)</f>
        <v>内控合规</v>
      </c>
      <c r="T103" t="str">
        <f>IF(Jnl[[#This Row],[TrxDate]]&lt;=stmt_BS_date_end, "In", "Out")</f>
        <v>Out</v>
      </c>
      <c r="U103" t="str">
        <f>IF(Jnl[[#This Row],[TrxDate]]&lt;debug_date_start, "prior", IF(Jnl[[#This Row],[TrxDate]]&gt;debug_date_end, "post", "curr"))</f>
        <v>curr</v>
      </c>
    </row>
    <row r="104" spans="1:21">
      <c r="A104" s="10" t="s">
        <v>273</v>
      </c>
      <c r="B104" s="6">
        <f>_xlfn.XLOOKUP(Jnl[[#This Row],[TrxId]], Trx[Id], Trx[Date],,0)</f>
        <v>46034</v>
      </c>
      <c r="C104" s="6" t="str">
        <f>_xlfn.XLOOKUP(Jnl[[#This Row],[TrxId]], Trx[Id], Trx[Division],,0)</f>
        <v>Ctrl</v>
      </c>
      <c r="D104" s="6" t="str">
        <f>_xlfn.XLOOKUP(Jnl[[#This Row],[TrxId]], Trx[Id], Trx[Action],,0)</f>
        <v>支付</v>
      </c>
      <c r="E104" s="30" t="s">
        <v>87</v>
      </c>
      <c r="F104" s="10" t="s">
        <v>196</v>
      </c>
      <c r="G104" s="10" t="s">
        <v>296</v>
      </c>
      <c r="H104" s="21">
        <v>-18440</v>
      </c>
      <c r="I104" s="11" t="b">
        <f>AND(Jnl[[#This Row],[TrxId]]&lt;&gt;"",Jnl[[#This Row],[Acct]]&lt;&gt;"",Jnl[[#This Row],[Item]]&lt;&gt;"",ISNUMBER(Jnl[[#This Row],[Bal]]))</f>
        <v>1</v>
      </c>
      <c r="J104" s="9">
        <f>IF(Jnl[[#This Row],[BSLv0]]="A",1,-1)*Jnl[[#This Row],[Bal]]</f>
        <v>18440</v>
      </c>
      <c r="K104" t="str">
        <f>_xlfn.XLOOKUP(Jnl[[#This Row],[Acct]], config_BS[Acct], config_BS[Lv0],,0)</f>
        <v>LC</v>
      </c>
      <c r="L104" t="str">
        <f>_xlfn.XLOOKUP(Jnl[[#This Row],[Acct]], config_BS[Acct], config_BS[Lv1],,0)</f>
        <v>Liability</v>
      </c>
      <c r="M104" t="str">
        <f>_xlfn.XLOOKUP(Jnl[[#This Row],[Acct]], config_BS[Acct], config_BS[Lv2],,0)</f>
        <v>Rec-Pay</v>
      </c>
      <c r="N104" t="str">
        <f>_xlfn.XLOOKUP(Jnl[[#This Row],[TrxId]], Trx[Id], Trx[IncNode], ,0)</f>
        <v>Expense</v>
      </c>
      <c r="O104" t="str">
        <f>_xlfn.XLOOKUP(Jnl[[#This Row],[IncNode]], config_IS[Node], config_IS[Type],,0)</f>
        <v>Op</v>
      </c>
      <c r="P104" t="str">
        <f>_xlfn.XLOOKUP(Jnl[[#This Row],[BSLv2]], dict[Key], dict[Name],,0)</f>
        <v>1.应收-应付</v>
      </c>
      <c r="Q104" t="str">
        <f>_xlfn.XLOOKUP(Jnl[[#This Row],[Acct]], dict[Key], dict[Name],,0)</f>
        <v>应付-薪资</v>
      </c>
      <c r="R104" t="str">
        <f>_xlfn.XLOOKUP(Jnl[[#This Row],[Vehicle]],config_vehicle[Id], config_vehicle[Name],,0)</f>
        <v>桑木</v>
      </c>
      <c r="S104" t="str">
        <f>_xlfn.XLOOKUP(Jnl[[#This Row],[Division]],config_div[Id], config_div[Name],,0)</f>
        <v>内控合规</v>
      </c>
      <c r="T104" t="str">
        <f>IF(Jnl[[#This Row],[TrxDate]]&lt;=stmt_BS_date_end, "In", "Out")</f>
        <v>Out</v>
      </c>
      <c r="U104" t="str">
        <f>IF(Jnl[[#This Row],[TrxDate]]&lt;debug_date_start, "prior", IF(Jnl[[#This Row],[TrxDate]]&gt;debug_date_end, "post", "curr"))</f>
        <v>curr</v>
      </c>
    </row>
    <row r="105" spans="1:21">
      <c r="A105" s="10" t="s">
        <v>273</v>
      </c>
      <c r="B105" s="6">
        <f>_xlfn.XLOOKUP(Jnl[[#This Row],[TrxId]], Trx[Id], Trx[Date],,0)</f>
        <v>46034</v>
      </c>
      <c r="C105" s="6" t="str">
        <f>_xlfn.XLOOKUP(Jnl[[#This Row],[TrxId]], Trx[Id], Trx[Division],,0)</f>
        <v>Ctrl</v>
      </c>
      <c r="D105" s="6" t="str">
        <f>_xlfn.XLOOKUP(Jnl[[#This Row],[TrxId]], Trx[Id], Trx[Action],,0)</f>
        <v>支付</v>
      </c>
      <c r="E105" s="30" t="s">
        <v>87</v>
      </c>
      <c r="F105" s="10" t="s">
        <v>12</v>
      </c>
      <c r="G105" s="10" t="s">
        <v>92</v>
      </c>
      <c r="H105" s="21">
        <v>-16946.37</v>
      </c>
      <c r="I105" s="11" t="b">
        <f>AND(Jnl[[#This Row],[TrxId]]&lt;&gt;"",Jnl[[#This Row],[Acct]]&lt;&gt;"",Jnl[[#This Row],[Item]]&lt;&gt;"",ISNUMBER(Jnl[[#This Row],[Bal]]))</f>
        <v>1</v>
      </c>
      <c r="J105" s="9">
        <f>IF(Jnl[[#This Row],[BSLv0]]="A",1,-1)*Jnl[[#This Row],[Bal]]</f>
        <v>-16946.37</v>
      </c>
      <c r="K105" t="str">
        <f>_xlfn.XLOOKUP(Jnl[[#This Row],[Acct]], config_BS[Acct], config_BS[Lv0],,0)</f>
        <v>A</v>
      </c>
      <c r="L105" t="str">
        <f>_xlfn.XLOOKUP(Jnl[[#This Row],[Acct]], config_BS[Acct], config_BS[Lv1],,0)</f>
        <v>Assets</v>
      </c>
      <c r="M105" t="str">
        <f>_xlfn.XLOOKUP(Jnl[[#This Row],[Acct]], config_BS[Acct], config_BS[Lv2],,0)</f>
        <v>Cash alike</v>
      </c>
      <c r="N105" t="str">
        <f>_xlfn.XLOOKUP(Jnl[[#This Row],[TrxId]], Trx[Id], Trx[IncNode], ,0)</f>
        <v>Expense</v>
      </c>
      <c r="O105" t="str">
        <f>_xlfn.XLOOKUP(Jnl[[#This Row],[IncNode]], config_IS[Node], config_IS[Type],,0)</f>
        <v>Op</v>
      </c>
      <c r="P105" t="str">
        <f>_xlfn.XLOOKUP(Jnl[[#This Row],[BSLv2]], dict[Key], dict[Name],,0)</f>
        <v>0.现金及类似</v>
      </c>
      <c r="Q105" t="str">
        <f>_xlfn.XLOOKUP(Jnl[[#This Row],[Acct]], dict[Key], dict[Name],,0)</f>
        <v>银行</v>
      </c>
      <c r="R105" t="str">
        <f>_xlfn.XLOOKUP(Jnl[[#This Row],[Vehicle]],config_vehicle[Id], config_vehicle[Name],,0)</f>
        <v>桑木</v>
      </c>
      <c r="S105" t="str">
        <f>_xlfn.XLOOKUP(Jnl[[#This Row],[Division]],config_div[Id], config_div[Name],,0)</f>
        <v>内控合规</v>
      </c>
      <c r="T105" t="str">
        <f>IF(Jnl[[#This Row],[TrxDate]]&lt;=stmt_BS_date_end, "In", "Out")</f>
        <v>Out</v>
      </c>
      <c r="U105" t="str">
        <f>IF(Jnl[[#This Row],[TrxDate]]&lt;debug_date_start, "prior", IF(Jnl[[#This Row],[TrxDate]]&gt;debug_date_end, "post", "curr"))</f>
        <v>curr</v>
      </c>
    </row>
    <row r="106" spans="1:21">
      <c r="A106" s="10" t="s">
        <v>273</v>
      </c>
      <c r="B106" s="6">
        <f>_xlfn.XLOOKUP(Jnl[[#This Row],[TrxId]], Trx[Id], Trx[Date],,0)</f>
        <v>46034</v>
      </c>
      <c r="C106" s="6" t="str">
        <f>_xlfn.XLOOKUP(Jnl[[#This Row],[TrxId]], Trx[Id], Trx[Division],,0)</f>
        <v>Ctrl</v>
      </c>
      <c r="D106" s="6" t="str">
        <f>_xlfn.XLOOKUP(Jnl[[#This Row],[TrxId]], Trx[Id], Trx[Action],,0)</f>
        <v>支付</v>
      </c>
      <c r="E106" s="30" t="s">
        <v>87</v>
      </c>
      <c r="F106" s="10" t="s">
        <v>208</v>
      </c>
      <c r="G106" s="10" t="s">
        <v>141</v>
      </c>
      <c r="H106" s="21">
        <v>-1431.45</v>
      </c>
      <c r="I106" s="11" t="b">
        <f>AND(Jnl[[#This Row],[TrxId]]&lt;&gt;"",Jnl[[#This Row],[Acct]]&lt;&gt;"",Jnl[[#This Row],[Item]]&lt;&gt;"",ISNUMBER(Jnl[[#This Row],[Bal]]))</f>
        <v>1</v>
      </c>
      <c r="J106" s="9">
        <f>IF(Jnl[[#This Row],[BSLv0]]="A",1,-1)*Jnl[[#This Row],[Bal]]</f>
        <v>-1431.45</v>
      </c>
      <c r="K106" t="str">
        <f>_xlfn.XLOOKUP(Jnl[[#This Row],[Acct]], config_BS[Acct], config_BS[Lv0],,0)</f>
        <v>A</v>
      </c>
      <c r="L106" t="str">
        <f>_xlfn.XLOOKUP(Jnl[[#This Row],[Acct]], config_BS[Acct], config_BS[Lv1],,0)</f>
        <v>Assets</v>
      </c>
      <c r="M106" t="str">
        <f>_xlfn.XLOOKUP(Jnl[[#This Row],[Acct]], config_BS[Acct], config_BS[Lv2],,0)</f>
        <v>Rec-Pay</v>
      </c>
      <c r="N106" t="str">
        <f>_xlfn.XLOOKUP(Jnl[[#This Row],[TrxId]], Trx[Id], Trx[IncNode], ,0)</f>
        <v>Expense</v>
      </c>
      <c r="O106" t="str">
        <f>_xlfn.XLOOKUP(Jnl[[#This Row],[IncNode]], config_IS[Node], config_IS[Type],,0)</f>
        <v>Op</v>
      </c>
      <c r="P106" t="str">
        <f>_xlfn.XLOOKUP(Jnl[[#This Row],[BSLv2]], dict[Key], dict[Name],,0)</f>
        <v>1.应收-应付</v>
      </c>
      <c r="Q106" t="str">
        <f>_xlfn.XLOOKUP(Jnl[[#This Row],[Acct]], dict[Key], dict[Name],,0)</f>
        <v>应收-其他</v>
      </c>
      <c r="R106" t="str">
        <f>_xlfn.XLOOKUP(Jnl[[#This Row],[Vehicle]],config_vehicle[Id], config_vehicle[Name],,0)</f>
        <v>桑木</v>
      </c>
      <c r="S106" t="str">
        <f>_xlfn.XLOOKUP(Jnl[[#This Row],[Division]],config_div[Id], config_div[Name],,0)</f>
        <v>内控合规</v>
      </c>
      <c r="T106" t="str">
        <f>IF(Jnl[[#This Row],[TrxDate]]&lt;=stmt_BS_date_end, "In", "Out")</f>
        <v>Out</v>
      </c>
      <c r="U106" t="str">
        <f>IF(Jnl[[#This Row],[TrxDate]]&lt;debug_date_start, "prior", IF(Jnl[[#This Row],[TrxDate]]&gt;debug_date_end, "post", "curr"))</f>
        <v>curr</v>
      </c>
    </row>
    <row r="107" spans="1:21">
      <c r="A107" s="10" t="s">
        <v>273</v>
      </c>
      <c r="B107" s="6">
        <f>_xlfn.XLOOKUP(Jnl[[#This Row],[TrxId]], Trx[Id], Trx[Date],,0)</f>
        <v>46034</v>
      </c>
      <c r="C107" s="6" t="str">
        <f>_xlfn.XLOOKUP(Jnl[[#This Row],[TrxId]], Trx[Id], Trx[Division],,0)</f>
        <v>Ctrl</v>
      </c>
      <c r="D107" s="6" t="str">
        <f>_xlfn.XLOOKUP(Jnl[[#This Row],[TrxId]], Trx[Id], Trx[Action],,0)</f>
        <v>支付</v>
      </c>
      <c r="E107" s="30" t="s">
        <v>87</v>
      </c>
      <c r="F107" s="10" t="s">
        <v>130</v>
      </c>
      <c r="G107" s="10" t="s">
        <v>295</v>
      </c>
      <c r="H107" s="21">
        <v>62.18</v>
      </c>
      <c r="I107" s="11" t="b">
        <f>AND(Jnl[[#This Row],[TrxId]]&lt;&gt;"",Jnl[[#This Row],[Acct]]&lt;&gt;"",Jnl[[#This Row],[Item]]&lt;&gt;"",ISNUMBER(Jnl[[#This Row],[Bal]]))</f>
        <v>1</v>
      </c>
      <c r="J107" s="9">
        <f>IF(Jnl[[#This Row],[BSLv0]]="A",1,-1)*Jnl[[#This Row],[Bal]]</f>
        <v>-62.18</v>
      </c>
      <c r="K107" t="str">
        <f>_xlfn.XLOOKUP(Jnl[[#This Row],[Acct]], config_BS[Acct], config_BS[Lv0],,0)</f>
        <v>LC</v>
      </c>
      <c r="L107" t="str">
        <f>_xlfn.XLOOKUP(Jnl[[#This Row],[Acct]], config_BS[Acct], config_BS[Lv1],,0)</f>
        <v>Liability</v>
      </c>
      <c r="M107" t="str">
        <f>_xlfn.XLOOKUP(Jnl[[#This Row],[Acct]], config_BS[Acct], config_BS[Lv2],,0)</f>
        <v>Rec-Pay</v>
      </c>
      <c r="N107" t="str">
        <f>_xlfn.XLOOKUP(Jnl[[#This Row],[TrxId]], Trx[Id], Trx[IncNode], ,0)</f>
        <v>Expense</v>
      </c>
      <c r="O107" t="str">
        <f>_xlfn.XLOOKUP(Jnl[[#This Row],[IncNode]], config_IS[Node], config_IS[Type],,0)</f>
        <v>Op</v>
      </c>
      <c r="P107" t="str">
        <f>_xlfn.XLOOKUP(Jnl[[#This Row],[BSLv2]], dict[Key], dict[Name],,0)</f>
        <v>1.应收-应付</v>
      </c>
      <c r="Q107" t="str">
        <f>_xlfn.XLOOKUP(Jnl[[#This Row],[Acct]], dict[Key], dict[Name],,0)</f>
        <v>应付-税款</v>
      </c>
      <c r="R107" t="str">
        <f>_xlfn.XLOOKUP(Jnl[[#This Row],[Vehicle]],config_vehicle[Id], config_vehicle[Name],,0)</f>
        <v>桑木</v>
      </c>
      <c r="S107" t="str">
        <f>_xlfn.XLOOKUP(Jnl[[#This Row],[Division]],config_div[Id], config_div[Name],,0)</f>
        <v>内控合规</v>
      </c>
      <c r="T107" t="str">
        <f>IF(Jnl[[#This Row],[TrxDate]]&lt;=stmt_BS_date_end, "In", "Out")</f>
        <v>Out</v>
      </c>
      <c r="U107" t="str">
        <f>IF(Jnl[[#This Row],[TrxDate]]&lt;debug_date_start, "prior", IF(Jnl[[#This Row],[TrxDate]]&gt;debug_date_end, "post", "curr"))</f>
        <v>curr</v>
      </c>
    </row>
    <row r="108" spans="1:21">
      <c r="A108" s="10" t="s">
        <v>274</v>
      </c>
      <c r="B108" s="6">
        <f>_xlfn.XLOOKUP(Jnl[[#This Row],[TrxId]], Trx[Id], Trx[Date],,0)</f>
        <v>46034</v>
      </c>
      <c r="C108" s="6" t="str">
        <f>_xlfn.XLOOKUP(Jnl[[#This Row],[TrxId]], Trx[Id], Trx[Division],,0)</f>
        <v>Ctrl</v>
      </c>
      <c r="D108" s="6" t="str">
        <f>_xlfn.XLOOKUP(Jnl[[#This Row],[TrxId]], Trx[Id], Trx[Action],,0)</f>
        <v>支付</v>
      </c>
      <c r="E108" s="30" t="s">
        <v>87</v>
      </c>
      <c r="F108" s="10" t="s">
        <v>130</v>
      </c>
      <c r="G108" s="10" t="s">
        <v>295</v>
      </c>
      <c r="H108" s="21">
        <v>-62.18</v>
      </c>
      <c r="I108" s="11" t="b">
        <f>AND(Jnl[[#This Row],[TrxId]]&lt;&gt;"",Jnl[[#This Row],[Acct]]&lt;&gt;"",Jnl[[#This Row],[Item]]&lt;&gt;"",ISNUMBER(Jnl[[#This Row],[Bal]]))</f>
        <v>1</v>
      </c>
      <c r="J108" s="9">
        <f>IF(Jnl[[#This Row],[BSLv0]]="A",1,-1)*Jnl[[#This Row],[Bal]]</f>
        <v>62.18</v>
      </c>
      <c r="K108" t="str">
        <f>_xlfn.XLOOKUP(Jnl[[#This Row],[Acct]], config_BS[Acct], config_BS[Lv0],,0)</f>
        <v>LC</v>
      </c>
      <c r="L108" t="str">
        <f>_xlfn.XLOOKUP(Jnl[[#This Row],[Acct]], config_BS[Acct], config_BS[Lv1],,0)</f>
        <v>Liability</v>
      </c>
      <c r="M108" t="str">
        <f>_xlfn.XLOOKUP(Jnl[[#This Row],[Acct]], config_BS[Acct], config_BS[Lv2],,0)</f>
        <v>Rec-Pay</v>
      </c>
      <c r="N108" t="str">
        <f>_xlfn.XLOOKUP(Jnl[[#This Row],[TrxId]], Trx[Id], Trx[IncNode], ,0)</f>
        <v>Expense</v>
      </c>
      <c r="O108" t="str">
        <f>_xlfn.XLOOKUP(Jnl[[#This Row],[IncNode]], config_IS[Node], config_IS[Type],,0)</f>
        <v>Op</v>
      </c>
      <c r="P108" t="str">
        <f>_xlfn.XLOOKUP(Jnl[[#This Row],[BSLv2]], dict[Key], dict[Name],,0)</f>
        <v>1.应收-应付</v>
      </c>
      <c r="Q108" t="str">
        <f>_xlfn.XLOOKUP(Jnl[[#This Row],[Acct]], dict[Key], dict[Name],,0)</f>
        <v>应付-税款</v>
      </c>
      <c r="R108" t="str">
        <f>_xlfn.XLOOKUP(Jnl[[#This Row],[Vehicle]],config_vehicle[Id], config_vehicle[Name],,0)</f>
        <v>桑木</v>
      </c>
      <c r="S108" t="str">
        <f>_xlfn.XLOOKUP(Jnl[[#This Row],[Division]],config_div[Id], config_div[Name],,0)</f>
        <v>内控合规</v>
      </c>
      <c r="T108" t="str">
        <f>IF(Jnl[[#This Row],[TrxDate]]&lt;=stmt_BS_date_end, "In", "Out")</f>
        <v>Out</v>
      </c>
      <c r="U108" t="str">
        <f>IF(Jnl[[#This Row],[TrxDate]]&lt;debug_date_start, "prior", IF(Jnl[[#This Row],[TrxDate]]&gt;debug_date_end, "post", "curr"))</f>
        <v>curr</v>
      </c>
    </row>
    <row r="109" spans="1:21">
      <c r="A109" s="10" t="s">
        <v>274</v>
      </c>
      <c r="B109" s="6">
        <f>_xlfn.XLOOKUP(Jnl[[#This Row],[TrxId]], Trx[Id], Trx[Date],,0)</f>
        <v>46034</v>
      </c>
      <c r="C109" s="6" t="str">
        <f>_xlfn.XLOOKUP(Jnl[[#This Row],[TrxId]], Trx[Id], Trx[Division],,0)</f>
        <v>Ctrl</v>
      </c>
      <c r="D109" s="6" t="str">
        <f>_xlfn.XLOOKUP(Jnl[[#This Row],[TrxId]], Trx[Id], Trx[Action],,0)</f>
        <v>支付</v>
      </c>
      <c r="E109" s="30" t="s">
        <v>87</v>
      </c>
      <c r="F109" s="10" t="s">
        <v>12</v>
      </c>
      <c r="G109" s="10" t="s">
        <v>92</v>
      </c>
      <c r="H109" s="21">
        <v>-62.18</v>
      </c>
      <c r="I109" s="11" t="b">
        <f>AND(Jnl[[#This Row],[TrxId]]&lt;&gt;"",Jnl[[#This Row],[Acct]]&lt;&gt;"",Jnl[[#This Row],[Item]]&lt;&gt;"",ISNUMBER(Jnl[[#This Row],[Bal]]))</f>
        <v>1</v>
      </c>
      <c r="J109" s="9">
        <f>IF(Jnl[[#This Row],[BSLv0]]="A",1,-1)*Jnl[[#This Row],[Bal]]</f>
        <v>-62.18</v>
      </c>
      <c r="K109" t="str">
        <f>_xlfn.XLOOKUP(Jnl[[#This Row],[Acct]], config_BS[Acct], config_BS[Lv0],,0)</f>
        <v>A</v>
      </c>
      <c r="L109" t="str">
        <f>_xlfn.XLOOKUP(Jnl[[#This Row],[Acct]], config_BS[Acct], config_BS[Lv1],,0)</f>
        <v>Assets</v>
      </c>
      <c r="M109" t="str">
        <f>_xlfn.XLOOKUP(Jnl[[#This Row],[Acct]], config_BS[Acct], config_BS[Lv2],,0)</f>
        <v>Cash alike</v>
      </c>
      <c r="N109" t="str">
        <f>_xlfn.XLOOKUP(Jnl[[#This Row],[TrxId]], Trx[Id], Trx[IncNode], ,0)</f>
        <v>Expense</v>
      </c>
      <c r="O109" t="str">
        <f>_xlfn.XLOOKUP(Jnl[[#This Row],[IncNode]], config_IS[Node], config_IS[Type],,0)</f>
        <v>Op</v>
      </c>
      <c r="P109" t="str">
        <f>_xlfn.XLOOKUP(Jnl[[#This Row],[BSLv2]], dict[Key], dict[Name],,0)</f>
        <v>0.现金及类似</v>
      </c>
      <c r="Q109" t="str">
        <f>_xlfn.XLOOKUP(Jnl[[#This Row],[Acct]], dict[Key], dict[Name],,0)</f>
        <v>银行</v>
      </c>
      <c r="R109" t="str">
        <f>_xlfn.XLOOKUP(Jnl[[#This Row],[Vehicle]],config_vehicle[Id], config_vehicle[Name],,0)</f>
        <v>桑木</v>
      </c>
      <c r="S109" t="str">
        <f>_xlfn.XLOOKUP(Jnl[[#This Row],[Division]],config_div[Id], config_div[Name],,0)</f>
        <v>内控合规</v>
      </c>
      <c r="T109" t="str">
        <f>IF(Jnl[[#This Row],[TrxDate]]&lt;=stmt_BS_date_end, "In", "Out")</f>
        <v>Out</v>
      </c>
      <c r="U109" t="str">
        <f>IF(Jnl[[#This Row],[TrxDate]]&lt;debug_date_start, "prior", IF(Jnl[[#This Row],[TrxDate]]&gt;debug_date_end, "post", "curr"))</f>
        <v>curr</v>
      </c>
    </row>
    <row r="110" spans="1:21">
      <c r="A110" s="10" t="s">
        <v>275</v>
      </c>
      <c r="B110" s="6">
        <f>_xlfn.XLOOKUP(Jnl[[#This Row],[TrxId]], Trx[Id], Trx[Date],,0)</f>
        <v>46034</v>
      </c>
      <c r="C110" s="6" t="str">
        <f>_xlfn.XLOOKUP(Jnl[[#This Row],[TrxId]], Trx[Id], Trx[Division],,0)</f>
        <v>GM</v>
      </c>
      <c r="D110" s="6" t="str">
        <f>_xlfn.XLOOKUP(Jnl[[#This Row],[TrxId]], Trx[Id], Trx[Action],,0)</f>
        <v>报销</v>
      </c>
      <c r="E110" s="30" t="s">
        <v>87</v>
      </c>
      <c r="F110" s="10" t="s">
        <v>12</v>
      </c>
      <c r="G110" s="10" t="s">
        <v>92</v>
      </c>
      <c r="H110" s="21">
        <v>-655</v>
      </c>
      <c r="I110" s="11" t="b">
        <f>AND(Jnl[[#This Row],[TrxId]]&lt;&gt;"",Jnl[[#This Row],[Acct]]&lt;&gt;"",Jnl[[#This Row],[Item]]&lt;&gt;"",ISNUMBER(Jnl[[#This Row],[Bal]]))</f>
        <v>1</v>
      </c>
      <c r="J110" s="9">
        <f>IF(Jnl[[#This Row],[BSLv0]]="A",1,-1)*Jnl[[#This Row],[Bal]]</f>
        <v>-655</v>
      </c>
      <c r="K110" t="str">
        <f>_xlfn.XLOOKUP(Jnl[[#This Row],[Acct]], config_BS[Acct], config_BS[Lv0],,0)</f>
        <v>A</v>
      </c>
      <c r="L110" t="str">
        <f>_xlfn.XLOOKUP(Jnl[[#This Row],[Acct]], config_BS[Acct], config_BS[Lv1],,0)</f>
        <v>Assets</v>
      </c>
      <c r="M110" t="str">
        <f>_xlfn.XLOOKUP(Jnl[[#This Row],[Acct]], config_BS[Acct], config_BS[Lv2],,0)</f>
        <v>Cash alike</v>
      </c>
      <c r="N110" t="str">
        <f>_xlfn.XLOOKUP(Jnl[[#This Row],[TrxId]], Trx[Id], Trx[IncNode], ,0)</f>
        <v>Expense</v>
      </c>
      <c r="O110" t="str">
        <f>_xlfn.XLOOKUP(Jnl[[#This Row],[IncNode]], config_IS[Node], config_IS[Type],,0)</f>
        <v>Op</v>
      </c>
      <c r="P110" t="str">
        <f>_xlfn.XLOOKUP(Jnl[[#This Row],[BSLv2]], dict[Key], dict[Name],,0)</f>
        <v>0.现金及类似</v>
      </c>
      <c r="Q110" t="str">
        <f>_xlfn.XLOOKUP(Jnl[[#This Row],[Acct]], dict[Key], dict[Name],,0)</f>
        <v>银行</v>
      </c>
      <c r="R110" t="str">
        <f>_xlfn.XLOOKUP(Jnl[[#This Row],[Vehicle]],config_vehicle[Id], config_vehicle[Name],,0)</f>
        <v>桑木</v>
      </c>
      <c r="S110" t="str">
        <f>_xlfn.XLOOKUP(Jnl[[#This Row],[Division]],config_div[Id], config_div[Name],,0)</f>
        <v>综合管理</v>
      </c>
      <c r="T110" t="str">
        <f>IF(Jnl[[#This Row],[TrxDate]]&lt;=stmt_BS_date_end, "In", "Out")</f>
        <v>Out</v>
      </c>
      <c r="U110" t="str">
        <f>IF(Jnl[[#This Row],[TrxDate]]&lt;debug_date_start, "prior", IF(Jnl[[#This Row],[TrxDate]]&gt;debug_date_end, "post", "curr"))</f>
        <v>curr</v>
      </c>
    </row>
    <row r="111" spans="1:21">
      <c r="A111" s="10" t="s">
        <v>276</v>
      </c>
      <c r="B111" s="6">
        <f>_xlfn.XLOOKUP(Jnl[[#This Row],[TrxId]], Trx[Id], Trx[Date],,0)</f>
        <v>46034</v>
      </c>
      <c r="C111" s="6" t="str">
        <f>_xlfn.XLOOKUP(Jnl[[#This Row],[TrxId]], Trx[Id], Trx[Division],,0)</f>
        <v>Ctrl</v>
      </c>
      <c r="D111" s="6" t="str">
        <f>_xlfn.XLOOKUP(Jnl[[#This Row],[TrxId]], Trx[Id], Trx[Action],,0)</f>
        <v>支付</v>
      </c>
      <c r="E111" s="30" t="s">
        <v>87</v>
      </c>
      <c r="F111" s="10" t="s">
        <v>130</v>
      </c>
      <c r="G111" s="10" t="s">
        <v>297</v>
      </c>
      <c r="H111" s="21">
        <v>-15935.56</v>
      </c>
      <c r="I111" s="11" t="b">
        <f>AND(Jnl[[#This Row],[TrxId]]&lt;&gt;"",Jnl[[#This Row],[Acct]]&lt;&gt;"",Jnl[[#This Row],[Item]]&lt;&gt;"",ISNUMBER(Jnl[[#This Row],[Bal]]))</f>
        <v>1</v>
      </c>
      <c r="J111" s="9">
        <f>IF(Jnl[[#This Row],[BSLv0]]="A",1,-1)*Jnl[[#This Row],[Bal]]</f>
        <v>15935.56</v>
      </c>
      <c r="K111" t="str">
        <f>_xlfn.XLOOKUP(Jnl[[#This Row],[Acct]], config_BS[Acct], config_BS[Lv0],,0)</f>
        <v>LC</v>
      </c>
      <c r="L111" t="str">
        <f>_xlfn.XLOOKUP(Jnl[[#This Row],[Acct]], config_BS[Acct], config_BS[Lv1],,0)</f>
        <v>Liability</v>
      </c>
      <c r="M111" t="str">
        <f>_xlfn.XLOOKUP(Jnl[[#This Row],[Acct]], config_BS[Acct], config_BS[Lv2],,0)</f>
        <v>Rec-Pay</v>
      </c>
      <c r="N111" t="str">
        <f>_xlfn.XLOOKUP(Jnl[[#This Row],[TrxId]], Trx[Id], Trx[IncNode], ,0)</f>
        <v>Expense</v>
      </c>
      <c r="O111" t="str">
        <f>_xlfn.XLOOKUP(Jnl[[#This Row],[IncNode]], config_IS[Node], config_IS[Type],,0)</f>
        <v>Op</v>
      </c>
      <c r="P111" t="str">
        <f>_xlfn.XLOOKUP(Jnl[[#This Row],[BSLv2]], dict[Key], dict[Name],,0)</f>
        <v>1.应收-应付</v>
      </c>
      <c r="Q111" t="str">
        <f>_xlfn.XLOOKUP(Jnl[[#This Row],[Acct]], dict[Key], dict[Name],,0)</f>
        <v>应付-税款</v>
      </c>
      <c r="R111" t="str">
        <f>_xlfn.XLOOKUP(Jnl[[#This Row],[Vehicle]],config_vehicle[Id], config_vehicle[Name],,0)</f>
        <v>桑木</v>
      </c>
      <c r="S111" t="str">
        <f>_xlfn.XLOOKUP(Jnl[[#This Row],[Division]],config_div[Id], config_div[Name],,0)</f>
        <v>内控合规</v>
      </c>
      <c r="T111" t="str">
        <f>IF(Jnl[[#This Row],[TrxDate]]&lt;=stmt_BS_date_end, "In", "Out")</f>
        <v>Out</v>
      </c>
      <c r="U111" t="str">
        <f>IF(Jnl[[#This Row],[TrxDate]]&lt;debug_date_start, "prior", IF(Jnl[[#This Row],[TrxDate]]&gt;debug_date_end, "post", "curr"))</f>
        <v>curr</v>
      </c>
    </row>
    <row r="112" spans="1:21">
      <c r="A112" s="10" t="s">
        <v>276</v>
      </c>
      <c r="B112" s="6">
        <f>_xlfn.XLOOKUP(Jnl[[#This Row],[TrxId]], Trx[Id], Trx[Date],,0)</f>
        <v>46034</v>
      </c>
      <c r="C112" s="6" t="str">
        <f>_xlfn.XLOOKUP(Jnl[[#This Row],[TrxId]], Trx[Id], Trx[Division],,0)</f>
        <v>Ctrl</v>
      </c>
      <c r="D112" s="6" t="str">
        <f>_xlfn.XLOOKUP(Jnl[[#This Row],[TrxId]], Trx[Id], Trx[Action],,0)</f>
        <v>支付</v>
      </c>
      <c r="E112" s="30" t="s">
        <v>87</v>
      </c>
      <c r="F112" s="10" t="s">
        <v>130</v>
      </c>
      <c r="G112" s="10" t="s">
        <v>318</v>
      </c>
      <c r="H112" s="21">
        <v>-1309.8399999999999</v>
      </c>
      <c r="I112" s="11" t="b">
        <f>AND(Jnl[[#This Row],[TrxId]]&lt;&gt;"",Jnl[[#This Row],[Acct]]&lt;&gt;"",Jnl[[#This Row],[Item]]&lt;&gt;"",ISNUMBER(Jnl[[#This Row],[Bal]]))</f>
        <v>1</v>
      </c>
      <c r="J112" s="9">
        <f>IF(Jnl[[#This Row],[BSLv0]]="A",1,-1)*Jnl[[#This Row],[Bal]]</f>
        <v>1309.8399999999999</v>
      </c>
      <c r="K112" t="str">
        <f>_xlfn.XLOOKUP(Jnl[[#This Row],[Acct]], config_BS[Acct], config_BS[Lv0],,0)</f>
        <v>LC</v>
      </c>
      <c r="L112" t="str">
        <f>_xlfn.XLOOKUP(Jnl[[#This Row],[Acct]], config_BS[Acct], config_BS[Lv1],,0)</f>
        <v>Liability</v>
      </c>
      <c r="M112" t="str">
        <f>_xlfn.XLOOKUP(Jnl[[#This Row],[Acct]], config_BS[Acct], config_BS[Lv2],,0)</f>
        <v>Rec-Pay</v>
      </c>
      <c r="N112" t="str">
        <f>_xlfn.XLOOKUP(Jnl[[#This Row],[TrxId]], Trx[Id], Trx[IncNode], ,0)</f>
        <v>Expense</v>
      </c>
      <c r="O112" t="str">
        <f>_xlfn.XLOOKUP(Jnl[[#This Row],[IncNode]], config_IS[Node], config_IS[Type],,0)</f>
        <v>Op</v>
      </c>
      <c r="P112" t="str">
        <f>_xlfn.XLOOKUP(Jnl[[#This Row],[BSLv2]], dict[Key], dict[Name],,0)</f>
        <v>1.应收-应付</v>
      </c>
      <c r="Q112" t="str">
        <f>_xlfn.XLOOKUP(Jnl[[#This Row],[Acct]], dict[Key], dict[Name],,0)</f>
        <v>应付-税款</v>
      </c>
      <c r="R112" t="str">
        <f>_xlfn.XLOOKUP(Jnl[[#This Row],[Vehicle]],config_vehicle[Id], config_vehicle[Name],,0)</f>
        <v>桑木</v>
      </c>
      <c r="S112" t="str">
        <f>_xlfn.XLOOKUP(Jnl[[#This Row],[Division]],config_div[Id], config_div[Name],,0)</f>
        <v>内控合规</v>
      </c>
      <c r="T112" t="str">
        <f>IF(Jnl[[#This Row],[TrxDate]]&lt;=stmt_BS_date_end, "In", "Out")</f>
        <v>Out</v>
      </c>
      <c r="U112" t="str">
        <f>IF(Jnl[[#This Row],[TrxDate]]&lt;debug_date_start, "prior", IF(Jnl[[#This Row],[TrxDate]]&gt;debug_date_end, "post", "curr"))</f>
        <v>curr</v>
      </c>
    </row>
    <row r="113" spans="1:21">
      <c r="A113" s="10" t="s">
        <v>276</v>
      </c>
      <c r="B113" s="6">
        <f>_xlfn.XLOOKUP(Jnl[[#This Row],[TrxId]], Trx[Id], Trx[Date],,0)</f>
        <v>46034</v>
      </c>
      <c r="C113" s="6" t="str">
        <f>_xlfn.XLOOKUP(Jnl[[#This Row],[TrxId]], Trx[Id], Trx[Division],,0)</f>
        <v>Ctrl</v>
      </c>
      <c r="D113" s="6" t="str">
        <f>_xlfn.XLOOKUP(Jnl[[#This Row],[TrxId]], Trx[Id], Trx[Action],,0)</f>
        <v>支付</v>
      </c>
      <c r="E113" s="30" t="s">
        <v>87</v>
      </c>
      <c r="F113" s="10" t="s">
        <v>130</v>
      </c>
      <c r="G113" s="10" t="s">
        <v>316</v>
      </c>
      <c r="H113" s="21">
        <v>-20527.259999999998</v>
      </c>
      <c r="I113" s="11" t="b">
        <f>AND(Jnl[[#This Row],[TrxId]]&lt;&gt;"",Jnl[[#This Row],[Acct]]&lt;&gt;"",Jnl[[#This Row],[Item]]&lt;&gt;"",ISNUMBER(Jnl[[#This Row],[Bal]]))</f>
        <v>1</v>
      </c>
      <c r="J113" s="9">
        <f>IF(Jnl[[#This Row],[BSLv0]]="A",1,-1)*Jnl[[#This Row],[Bal]]</f>
        <v>20527.259999999998</v>
      </c>
      <c r="K113" t="str">
        <f>_xlfn.XLOOKUP(Jnl[[#This Row],[Acct]], config_BS[Acct], config_BS[Lv0],,0)</f>
        <v>LC</v>
      </c>
      <c r="L113" t="str">
        <f>_xlfn.XLOOKUP(Jnl[[#This Row],[Acct]], config_BS[Acct], config_BS[Lv1],,0)</f>
        <v>Liability</v>
      </c>
      <c r="M113" t="str">
        <f>_xlfn.XLOOKUP(Jnl[[#This Row],[Acct]], config_BS[Acct], config_BS[Lv2],,0)</f>
        <v>Rec-Pay</v>
      </c>
      <c r="N113" t="str">
        <f>_xlfn.XLOOKUP(Jnl[[#This Row],[TrxId]], Trx[Id], Trx[IncNode], ,0)</f>
        <v>Expense</v>
      </c>
      <c r="O113" t="str">
        <f>_xlfn.XLOOKUP(Jnl[[#This Row],[IncNode]], config_IS[Node], config_IS[Type],,0)</f>
        <v>Op</v>
      </c>
      <c r="P113" t="str">
        <f>_xlfn.XLOOKUP(Jnl[[#This Row],[BSLv2]], dict[Key], dict[Name],,0)</f>
        <v>1.应收-应付</v>
      </c>
      <c r="Q113" t="str">
        <f>_xlfn.XLOOKUP(Jnl[[#This Row],[Acct]], dict[Key], dict[Name],,0)</f>
        <v>应付-税款</v>
      </c>
      <c r="R113" t="str">
        <f>_xlfn.XLOOKUP(Jnl[[#This Row],[Vehicle]],config_vehicle[Id], config_vehicle[Name],,0)</f>
        <v>桑木</v>
      </c>
      <c r="S113" t="str">
        <f>_xlfn.XLOOKUP(Jnl[[#This Row],[Division]],config_div[Id], config_div[Name],,0)</f>
        <v>内控合规</v>
      </c>
      <c r="T113" t="str">
        <f>IF(Jnl[[#This Row],[TrxDate]]&lt;=stmt_BS_date_end, "In", "Out")</f>
        <v>Out</v>
      </c>
      <c r="U113" t="str">
        <f>IF(Jnl[[#This Row],[TrxDate]]&lt;debug_date_start, "prior", IF(Jnl[[#This Row],[TrxDate]]&gt;debug_date_end, "post", "curr"))</f>
        <v>curr</v>
      </c>
    </row>
    <row r="114" spans="1:21">
      <c r="A114" s="10" t="s">
        <v>276</v>
      </c>
      <c r="B114" s="6">
        <f>_xlfn.XLOOKUP(Jnl[[#This Row],[TrxId]], Trx[Id], Trx[Date],,0)</f>
        <v>46034</v>
      </c>
      <c r="C114" s="6" t="str">
        <f>_xlfn.XLOOKUP(Jnl[[#This Row],[TrxId]], Trx[Id], Trx[Division],,0)</f>
        <v>Ctrl</v>
      </c>
      <c r="D114" s="6" t="str">
        <f>_xlfn.XLOOKUP(Jnl[[#This Row],[TrxId]], Trx[Id], Trx[Action],,0)</f>
        <v>支付</v>
      </c>
      <c r="E114" s="30" t="s">
        <v>87</v>
      </c>
      <c r="F114" s="10" t="s">
        <v>12</v>
      </c>
      <c r="G114" s="10" t="s">
        <v>92</v>
      </c>
      <c r="H114" s="21">
        <v>-37772.620000000003</v>
      </c>
      <c r="I114" s="11" t="b">
        <f>AND(Jnl[[#This Row],[TrxId]]&lt;&gt;"",Jnl[[#This Row],[Acct]]&lt;&gt;"",Jnl[[#This Row],[Item]]&lt;&gt;"",ISNUMBER(Jnl[[#This Row],[Bal]]))</f>
        <v>1</v>
      </c>
      <c r="J114" s="9">
        <f>IF(Jnl[[#This Row],[BSLv0]]="A",1,-1)*Jnl[[#This Row],[Bal]]</f>
        <v>-37772.620000000003</v>
      </c>
      <c r="K114" t="str">
        <f>_xlfn.XLOOKUP(Jnl[[#This Row],[Acct]], config_BS[Acct], config_BS[Lv0],,0)</f>
        <v>A</v>
      </c>
      <c r="L114" t="str">
        <f>_xlfn.XLOOKUP(Jnl[[#This Row],[Acct]], config_BS[Acct], config_BS[Lv1],,0)</f>
        <v>Assets</v>
      </c>
      <c r="M114" t="str">
        <f>_xlfn.XLOOKUP(Jnl[[#This Row],[Acct]], config_BS[Acct], config_BS[Lv2],,0)</f>
        <v>Cash alike</v>
      </c>
      <c r="N114" t="str">
        <f>_xlfn.XLOOKUP(Jnl[[#This Row],[TrxId]], Trx[Id], Trx[IncNode], ,0)</f>
        <v>Expense</v>
      </c>
      <c r="O114" t="str">
        <f>_xlfn.XLOOKUP(Jnl[[#This Row],[IncNode]], config_IS[Node], config_IS[Type],,0)</f>
        <v>Op</v>
      </c>
      <c r="P114" t="str">
        <f>_xlfn.XLOOKUP(Jnl[[#This Row],[BSLv2]], dict[Key], dict[Name],,0)</f>
        <v>0.现金及类似</v>
      </c>
      <c r="Q114" t="str">
        <f>_xlfn.XLOOKUP(Jnl[[#This Row],[Acct]], dict[Key], dict[Name],,0)</f>
        <v>银行</v>
      </c>
      <c r="R114" t="str">
        <f>_xlfn.XLOOKUP(Jnl[[#This Row],[Vehicle]],config_vehicle[Id], config_vehicle[Name],,0)</f>
        <v>桑木</v>
      </c>
      <c r="S114" t="str">
        <f>_xlfn.XLOOKUP(Jnl[[#This Row],[Division]],config_div[Id], config_div[Name],,0)</f>
        <v>内控合规</v>
      </c>
      <c r="T114" t="str">
        <f>IF(Jnl[[#This Row],[TrxDate]]&lt;=stmt_BS_date_end, "In", "Out")</f>
        <v>Out</v>
      </c>
      <c r="U114" t="str">
        <f>IF(Jnl[[#This Row],[TrxDate]]&lt;debug_date_start, "prior", IF(Jnl[[#This Row],[TrxDate]]&gt;debug_date_end, "post", "curr"))</f>
        <v>curr</v>
      </c>
    </row>
    <row r="115" spans="1:21">
      <c r="A115" s="10" t="s">
        <v>277</v>
      </c>
      <c r="B115" s="6">
        <f>_xlfn.XLOOKUP(Jnl[[#This Row],[TrxId]], Trx[Id], Trx[Date],,0)</f>
        <v>46036</v>
      </c>
      <c r="C115" s="6" t="str">
        <f>_xlfn.XLOOKUP(Jnl[[#This Row],[TrxId]], Trx[Id], Trx[Division],,0)</f>
        <v>Online</v>
      </c>
      <c r="D115" s="6" t="str">
        <f>_xlfn.XLOOKUP(Jnl[[#This Row],[TrxId]], Trx[Id], Trx[Action],,0)</f>
        <v>订购</v>
      </c>
      <c r="E115" s="30" t="s">
        <v>87</v>
      </c>
      <c r="F115" s="10" t="s">
        <v>118</v>
      </c>
      <c r="G115" s="10" t="s">
        <v>147</v>
      </c>
      <c r="H115" s="21">
        <v>36301.5</v>
      </c>
      <c r="I115" s="11" t="b">
        <f>AND(Jnl[[#This Row],[TrxId]]&lt;&gt;"",Jnl[[#This Row],[Acct]]&lt;&gt;"",Jnl[[#This Row],[Item]]&lt;&gt;"",ISNUMBER(Jnl[[#This Row],[Bal]]))</f>
        <v>1</v>
      </c>
      <c r="J115" s="9">
        <f>IF(Jnl[[#This Row],[BSLv0]]="A",1,-1)*Jnl[[#This Row],[Bal]]</f>
        <v>36301.5</v>
      </c>
      <c r="K115" t="str">
        <f>_xlfn.XLOOKUP(Jnl[[#This Row],[Acct]], config_BS[Acct], config_BS[Lv0],,0)</f>
        <v>A</v>
      </c>
      <c r="L115" t="str">
        <f>_xlfn.XLOOKUP(Jnl[[#This Row],[Acct]], config_BS[Acct], config_BS[Lv1],,0)</f>
        <v>Assets</v>
      </c>
      <c r="M115" t="str">
        <f>_xlfn.XLOOKUP(Jnl[[#This Row],[Acct]], config_BS[Acct], config_BS[Lv2],,0)</f>
        <v>Prep-Sub</v>
      </c>
      <c r="N115" t="str">
        <f>_xlfn.XLOOKUP(Jnl[[#This Row],[TrxId]], Trx[Id], Trx[IncNode], ,0)</f>
        <v>Cost</v>
      </c>
      <c r="O115" t="str">
        <f>_xlfn.XLOOKUP(Jnl[[#This Row],[IncNode]], config_IS[Node], config_IS[Type],,0)</f>
        <v>Op</v>
      </c>
      <c r="P115" t="str">
        <f>_xlfn.XLOOKUP(Jnl[[#This Row],[BSLv2]], dict[Key], dict[Name],,0)</f>
        <v>2.预付-订阅</v>
      </c>
      <c r="Q115" t="str">
        <f>_xlfn.XLOOKUP(Jnl[[#This Row],[Acct]], dict[Key], dict[Name],,0)</f>
        <v>订单</v>
      </c>
      <c r="R115" t="str">
        <f>_xlfn.XLOOKUP(Jnl[[#This Row],[Vehicle]],config_vehicle[Id], config_vehicle[Name],,0)</f>
        <v>桑木</v>
      </c>
      <c r="S115" t="str">
        <f>_xlfn.XLOOKUP(Jnl[[#This Row],[Division]],config_div[Id], config_div[Name],,0)</f>
        <v>网店</v>
      </c>
      <c r="T115" t="str">
        <f>IF(Jnl[[#This Row],[TrxDate]]&lt;=stmt_BS_date_end, "In", "Out")</f>
        <v>Out</v>
      </c>
      <c r="U115" t="str">
        <f>IF(Jnl[[#This Row],[TrxDate]]&lt;debug_date_start, "prior", IF(Jnl[[#This Row],[TrxDate]]&gt;debug_date_end, "post", "curr"))</f>
        <v>curr</v>
      </c>
    </row>
    <row r="116" spans="1:21">
      <c r="A116" s="10" t="s">
        <v>277</v>
      </c>
      <c r="B116" s="6">
        <f>_xlfn.XLOOKUP(Jnl[[#This Row],[TrxId]], Trx[Id], Trx[Date],,0)</f>
        <v>46036</v>
      </c>
      <c r="C116" s="6" t="str">
        <f>_xlfn.XLOOKUP(Jnl[[#This Row],[TrxId]], Trx[Id], Trx[Division],,0)</f>
        <v>Online</v>
      </c>
      <c r="D116" s="6" t="str">
        <f>_xlfn.XLOOKUP(Jnl[[#This Row],[TrxId]], Trx[Id], Trx[Action],,0)</f>
        <v>订购</v>
      </c>
      <c r="E116" s="30" t="s">
        <v>87</v>
      </c>
      <c r="F116" s="10" t="s">
        <v>12</v>
      </c>
      <c r="G116" s="10" t="s">
        <v>92</v>
      </c>
      <c r="H116" s="21">
        <v>-36301.5</v>
      </c>
      <c r="I116" s="11" t="b">
        <f>AND(Jnl[[#This Row],[TrxId]]&lt;&gt;"",Jnl[[#This Row],[Acct]]&lt;&gt;"",Jnl[[#This Row],[Item]]&lt;&gt;"",ISNUMBER(Jnl[[#This Row],[Bal]]))</f>
        <v>1</v>
      </c>
      <c r="J116" s="9">
        <f>IF(Jnl[[#This Row],[BSLv0]]="A",1,-1)*Jnl[[#This Row],[Bal]]</f>
        <v>-36301.5</v>
      </c>
      <c r="K116" t="str">
        <f>_xlfn.XLOOKUP(Jnl[[#This Row],[Acct]], config_BS[Acct], config_BS[Lv0],,0)</f>
        <v>A</v>
      </c>
      <c r="L116" t="str">
        <f>_xlfn.XLOOKUP(Jnl[[#This Row],[Acct]], config_BS[Acct], config_BS[Lv1],,0)</f>
        <v>Assets</v>
      </c>
      <c r="M116" t="str">
        <f>_xlfn.XLOOKUP(Jnl[[#This Row],[Acct]], config_BS[Acct], config_BS[Lv2],,0)</f>
        <v>Cash alike</v>
      </c>
      <c r="N116" t="str">
        <f>_xlfn.XLOOKUP(Jnl[[#This Row],[TrxId]], Trx[Id], Trx[IncNode], ,0)</f>
        <v>Cost</v>
      </c>
      <c r="O116" t="str">
        <f>_xlfn.XLOOKUP(Jnl[[#This Row],[IncNode]], config_IS[Node], config_IS[Type],,0)</f>
        <v>Op</v>
      </c>
      <c r="P116" t="str">
        <f>_xlfn.XLOOKUP(Jnl[[#This Row],[BSLv2]], dict[Key], dict[Name],,0)</f>
        <v>0.现金及类似</v>
      </c>
      <c r="Q116" t="str">
        <f>_xlfn.XLOOKUP(Jnl[[#This Row],[Acct]], dict[Key], dict[Name],,0)</f>
        <v>银行</v>
      </c>
      <c r="R116" t="str">
        <f>_xlfn.XLOOKUP(Jnl[[#This Row],[Vehicle]],config_vehicle[Id], config_vehicle[Name],,0)</f>
        <v>桑木</v>
      </c>
      <c r="S116" t="str">
        <f>_xlfn.XLOOKUP(Jnl[[#This Row],[Division]],config_div[Id], config_div[Name],,0)</f>
        <v>网店</v>
      </c>
      <c r="T116" t="str">
        <f>IF(Jnl[[#This Row],[TrxDate]]&lt;=stmt_BS_date_end, "In", "Out")</f>
        <v>Out</v>
      </c>
      <c r="U116" t="str">
        <f>IF(Jnl[[#This Row],[TrxDate]]&lt;debug_date_start, "prior", IF(Jnl[[#This Row],[TrxDate]]&gt;debug_date_end, "post", "curr"))</f>
        <v>curr</v>
      </c>
    </row>
    <row r="117" spans="1:21">
      <c r="A117" s="10" t="s">
        <v>278</v>
      </c>
      <c r="B117" s="6">
        <f>_xlfn.XLOOKUP(Jnl[[#This Row],[TrxId]], Trx[Id], Trx[Date],,0)</f>
        <v>46036</v>
      </c>
      <c r="C117" s="6" t="str">
        <f>_xlfn.XLOOKUP(Jnl[[#This Row],[TrxId]], Trx[Id], Trx[Division],,0)</f>
        <v>Online</v>
      </c>
      <c r="D117" s="6" t="str">
        <f>_xlfn.XLOOKUP(Jnl[[#This Row],[TrxId]], Trx[Id], Trx[Action],,0)</f>
        <v>入库</v>
      </c>
      <c r="E117" s="30" t="s">
        <v>87</v>
      </c>
      <c r="F117" s="10" t="s">
        <v>119</v>
      </c>
      <c r="G117" s="10" t="s">
        <v>154</v>
      </c>
      <c r="H117" s="21">
        <v>48363</v>
      </c>
      <c r="I117" s="11" t="b">
        <f>AND(Jnl[[#This Row],[TrxId]]&lt;&gt;"",Jnl[[#This Row],[Acct]]&lt;&gt;"",Jnl[[#This Row],[Item]]&lt;&gt;"",ISNUMBER(Jnl[[#This Row],[Bal]]))</f>
        <v>1</v>
      </c>
      <c r="J117" s="9">
        <f>IF(Jnl[[#This Row],[BSLv0]]="A",1,-1)*Jnl[[#This Row],[Bal]]</f>
        <v>48363</v>
      </c>
      <c r="K117" t="str">
        <f>_xlfn.XLOOKUP(Jnl[[#This Row],[Acct]], config_BS[Acct], config_BS[Lv0],,0)</f>
        <v>A</v>
      </c>
      <c r="L117" t="str">
        <f>_xlfn.XLOOKUP(Jnl[[#This Row],[Acct]], config_BS[Acct], config_BS[Lv1],,0)</f>
        <v>Assets</v>
      </c>
      <c r="M117" t="str">
        <f>_xlfn.XLOOKUP(Jnl[[#This Row],[Acct]], config_BS[Acct], config_BS[Lv2],,0)</f>
        <v>Invtr</v>
      </c>
      <c r="N117" t="str">
        <f>_xlfn.XLOOKUP(Jnl[[#This Row],[TrxId]], Trx[Id], Trx[IncNode], ,0)</f>
        <v>Cost</v>
      </c>
      <c r="O117" t="str">
        <f>_xlfn.XLOOKUP(Jnl[[#This Row],[IncNode]], config_IS[Node], config_IS[Type],,0)</f>
        <v>Op</v>
      </c>
      <c r="P117" t="str">
        <f>_xlfn.XLOOKUP(Jnl[[#This Row],[BSLv2]], dict[Key], dict[Name],,0)</f>
        <v>3.库存占款</v>
      </c>
      <c r="Q117" t="str">
        <f>_xlfn.XLOOKUP(Jnl[[#This Row],[Acct]], dict[Key], dict[Name],,0)</f>
        <v>当期存货</v>
      </c>
      <c r="R117" t="str">
        <f>_xlfn.XLOOKUP(Jnl[[#This Row],[Vehicle]],config_vehicle[Id], config_vehicle[Name],,0)</f>
        <v>桑木</v>
      </c>
      <c r="S117" t="str">
        <f>_xlfn.XLOOKUP(Jnl[[#This Row],[Division]],config_div[Id], config_div[Name],,0)</f>
        <v>网店</v>
      </c>
      <c r="T117" t="str">
        <f>IF(Jnl[[#This Row],[TrxDate]]&lt;=stmt_BS_date_end, "In", "Out")</f>
        <v>Out</v>
      </c>
      <c r="U117" t="str">
        <f>IF(Jnl[[#This Row],[TrxDate]]&lt;debug_date_start, "prior", IF(Jnl[[#This Row],[TrxDate]]&gt;debug_date_end, "post", "curr"))</f>
        <v>curr</v>
      </c>
    </row>
    <row r="118" spans="1:21">
      <c r="A118" s="10" t="s">
        <v>278</v>
      </c>
      <c r="B118" s="6">
        <f>_xlfn.XLOOKUP(Jnl[[#This Row],[TrxId]], Trx[Id], Trx[Date],,0)</f>
        <v>46036</v>
      </c>
      <c r="C118" s="6" t="str">
        <f>_xlfn.XLOOKUP(Jnl[[#This Row],[TrxId]], Trx[Id], Trx[Division],,0)</f>
        <v>Online</v>
      </c>
      <c r="D118" s="6" t="str">
        <f>_xlfn.XLOOKUP(Jnl[[#This Row],[TrxId]], Trx[Id], Trx[Action],,0)</f>
        <v>入库</v>
      </c>
      <c r="E118" s="30" t="s">
        <v>87</v>
      </c>
      <c r="F118" s="10" t="s">
        <v>118</v>
      </c>
      <c r="G118" s="10" t="s">
        <v>147</v>
      </c>
      <c r="H118" s="21">
        <v>-48363</v>
      </c>
      <c r="I118" s="11" t="b">
        <f>AND(Jnl[[#This Row],[TrxId]]&lt;&gt;"",Jnl[[#This Row],[Acct]]&lt;&gt;"",Jnl[[#This Row],[Item]]&lt;&gt;"",ISNUMBER(Jnl[[#This Row],[Bal]]))</f>
        <v>1</v>
      </c>
      <c r="J118" s="9">
        <f>IF(Jnl[[#This Row],[BSLv0]]="A",1,-1)*Jnl[[#This Row],[Bal]]</f>
        <v>-48363</v>
      </c>
      <c r="K118" t="str">
        <f>_xlfn.XLOOKUP(Jnl[[#This Row],[Acct]], config_BS[Acct], config_BS[Lv0],,0)</f>
        <v>A</v>
      </c>
      <c r="L118" t="str">
        <f>_xlfn.XLOOKUP(Jnl[[#This Row],[Acct]], config_BS[Acct], config_BS[Lv1],,0)</f>
        <v>Assets</v>
      </c>
      <c r="M118" t="str">
        <f>_xlfn.XLOOKUP(Jnl[[#This Row],[Acct]], config_BS[Acct], config_BS[Lv2],,0)</f>
        <v>Prep-Sub</v>
      </c>
      <c r="N118" t="str">
        <f>_xlfn.XLOOKUP(Jnl[[#This Row],[TrxId]], Trx[Id], Trx[IncNode], ,0)</f>
        <v>Cost</v>
      </c>
      <c r="O118" t="str">
        <f>_xlfn.XLOOKUP(Jnl[[#This Row],[IncNode]], config_IS[Node], config_IS[Type],,0)</f>
        <v>Op</v>
      </c>
      <c r="P118" t="str">
        <f>_xlfn.XLOOKUP(Jnl[[#This Row],[BSLv2]], dict[Key], dict[Name],,0)</f>
        <v>2.预付-订阅</v>
      </c>
      <c r="Q118" t="str">
        <f>_xlfn.XLOOKUP(Jnl[[#This Row],[Acct]], dict[Key], dict[Name],,0)</f>
        <v>订单</v>
      </c>
      <c r="R118" t="str">
        <f>_xlfn.XLOOKUP(Jnl[[#This Row],[Vehicle]],config_vehicle[Id], config_vehicle[Name],,0)</f>
        <v>桑木</v>
      </c>
      <c r="S118" t="str">
        <f>_xlfn.XLOOKUP(Jnl[[#This Row],[Division]],config_div[Id], config_div[Name],,0)</f>
        <v>网店</v>
      </c>
      <c r="T118" t="str">
        <f>IF(Jnl[[#This Row],[TrxDate]]&lt;=stmt_BS_date_end, "In", "Out")</f>
        <v>Out</v>
      </c>
      <c r="U118" t="str">
        <f>IF(Jnl[[#This Row],[TrxDate]]&lt;debug_date_start, "prior", IF(Jnl[[#This Row],[TrxDate]]&gt;debug_date_end, "post", "curr"))</f>
        <v>curr</v>
      </c>
    </row>
    <row r="119" spans="1:21">
      <c r="A119" s="10" t="s">
        <v>279</v>
      </c>
      <c r="B119" s="6">
        <f>_xlfn.XLOOKUP(Jnl[[#This Row],[TrxId]], Trx[Id], Trx[Date],,0)</f>
        <v>46041</v>
      </c>
      <c r="C119" s="6" t="str">
        <f>_xlfn.XLOOKUP(Jnl[[#This Row],[TrxId]], Trx[Id], Trx[Division],,0)</f>
        <v>Online</v>
      </c>
      <c r="D119" s="6" t="str">
        <f>_xlfn.XLOOKUP(Jnl[[#This Row],[TrxId]], Trx[Id], Trx[Action],,0)</f>
        <v>订购</v>
      </c>
      <c r="E119" s="30" t="s">
        <v>87</v>
      </c>
      <c r="F119" s="10" t="s">
        <v>118</v>
      </c>
      <c r="G119" s="10" t="s">
        <v>147</v>
      </c>
      <c r="H119" s="21">
        <v>82225</v>
      </c>
      <c r="I119" s="11" t="b">
        <f>AND(Jnl[[#This Row],[TrxId]]&lt;&gt;"",Jnl[[#This Row],[Acct]]&lt;&gt;"",Jnl[[#This Row],[Item]]&lt;&gt;"",ISNUMBER(Jnl[[#This Row],[Bal]]))</f>
        <v>1</v>
      </c>
      <c r="J119" s="9">
        <f>IF(Jnl[[#This Row],[BSLv0]]="A",1,-1)*Jnl[[#This Row],[Bal]]</f>
        <v>82225</v>
      </c>
      <c r="K119" t="str">
        <f>_xlfn.XLOOKUP(Jnl[[#This Row],[Acct]], config_BS[Acct], config_BS[Lv0],,0)</f>
        <v>A</v>
      </c>
      <c r="L119" t="str">
        <f>_xlfn.XLOOKUP(Jnl[[#This Row],[Acct]], config_BS[Acct], config_BS[Lv1],,0)</f>
        <v>Assets</v>
      </c>
      <c r="M119" t="str">
        <f>_xlfn.XLOOKUP(Jnl[[#This Row],[Acct]], config_BS[Acct], config_BS[Lv2],,0)</f>
        <v>Prep-Sub</v>
      </c>
      <c r="N119" t="str">
        <f>_xlfn.XLOOKUP(Jnl[[#This Row],[TrxId]], Trx[Id], Trx[IncNode], ,0)</f>
        <v>Cost</v>
      </c>
      <c r="O119" t="str">
        <f>_xlfn.XLOOKUP(Jnl[[#This Row],[IncNode]], config_IS[Node], config_IS[Type],,0)</f>
        <v>Op</v>
      </c>
      <c r="P119" t="str">
        <f>_xlfn.XLOOKUP(Jnl[[#This Row],[BSLv2]], dict[Key], dict[Name],,0)</f>
        <v>2.预付-订阅</v>
      </c>
      <c r="Q119" t="str">
        <f>_xlfn.XLOOKUP(Jnl[[#This Row],[Acct]], dict[Key], dict[Name],,0)</f>
        <v>订单</v>
      </c>
      <c r="R119" t="str">
        <f>_xlfn.XLOOKUP(Jnl[[#This Row],[Vehicle]],config_vehicle[Id], config_vehicle[Name],,0)</f>
        <v>桑木</v>
      </c>
      <c r="S119" t="str">
        <f>_xlfn.XLOOKUP(Jnl[[#This Row],[Division]],config_div[Id], config_div[Name],,0)</f>
        <v>网店</v>
      </c>
      <c r="T119" t="str">
        <f>IF(Jnl[[#This Row],[TrxDate]]&lt;=stmt_BS_date_end, "In", "Out")</f>
        <v>Out</v>
      </c>
      <c r="U119" t="str">
        <f>IF(Jnl[[#This Row],[TrxDate]]&lt;debug_date_start, "prior", IF(Jnl[[#This Row],[TrxDate]]&gt;debug_date_end, "post", "curr"))</f>
        <v>curr</v>
      </c>
    </row>
    <row r="120" spans="1:21">
      <c r="A120" s="10" t="s">
        <v>279</v>
      </c>
      <c r="B120" s="6">
        <f>_xlfn.XLOOKUP(Jnl[[#This Row],[TrxId]], Trx[Id], Trx[Date],,0)</f>
        <v>46041</v>
      </c>
      <c r="C120" s="6" t="str">
        <f>_xlfn.XLOOKUP(Jnl[[#This Row],[TrxId]], Trx[Id], Trx[Division],,0)</f>
        <v>Online</v>
      </c>
      <c r="D120" s="6" t="str">
        <f>_xlfn.XLOOKUP(Jnl[[#This Row],[TrxId]], Trx[Id], Trx[Action],,0)</f>
        <v>订购</v>
      </c>
      <c r="E120" s="30" t="s">
        <v>87</v>
      </c>
      <c r="F120" s="10" t="s">
        <v>12</v>
      </c>
      <c r="G120" s="10" t="s">
        <v>92</v>
      </c>
      <c r="H120" s="21">
        <v>-82225</v>
      </c>
      <c r="I120" s="11" t="b">
        <f>AND(Jnl[[#This Row],[TrxId]]&lt;&gt;"",Jnl[[#This Row],[Acct]]&lt;&gt;"",Jnl[[#This Row],[Item]]&lt;&gt;"",ISNUMBER(Jnl[[#This Row],[Bal]]))</f>
        <v>1</v>
      </c>
      <c r="J120" s="9">
        <f>IF(Jnl[[#This Row],[BSLv0]]="A",1,-1)*Jnl[[#This Row],[Bal]]</f>
        <v>-82225</v>
      </c>
      <c r="K120" t="str">
        <f>_xlfn.XLOOKUP(Jnl[[#This Row],[Acct]], config_BS[Acct], config_BS[Lv0],,0)</f>
        <v>A</v>
      </c>
      <c r="L120" t="str">
        <f>_xlfn.XLOOKUP(Jnl[[#This Row],[Acct]], config_BS[Acct], config_BS[Lv1],,0)</f>
        <v>Assets</v>
      </c>
      <c r="M120" t="str">
        <f>_xlfn.XLOOKUP(Jnl[[#This Row],[Acct]], config_BS[Acct], config_BS[Lv2],,0)</f>
        <v>Cash alike</v>
      </c>
      <c r="N120" t="str">
        <f>_xlfn.XLOOKUP(Jnl[[#This Row],[TrxId]], Trx[Id], Trx[IncNode], ,0)</f>
        <v>Cost</v>
      </c>
      <c r="O120" t="str">
        <f>_xlfn.XLOOKUP(Jnl[[#This Row],[IncNode]], config_IS[Node], config_IS[Type],,0)</f>
        <v>Op</v>
      </c>
      <c r="P120" t="str">
        <f>_xlfn.XLOOKUP(Jnl[[#This Row],[BSLv2]], dict[Key], dict[Name],,0)</f>
        <v>0.现金及类似</v>
      </c>
      <c r="Q120" t="str">
        <f>_xlfn.XLOOKUP(Jnl[[#This Row],[Acct]], dict[Key], dict[Name],,0)</f>
        <v>银行</v>
      </c>
      <c r="R120" t="str">
        <f>_xlfn.XLOOKUP(Jnl[[#This Row],[Vehicle]],config_vehicle[Id], config_vehicle[Name],,0)</f>
        <v>桑木</v>
      </c>
      <c r="S120" t="str">
        <f>_xlfn.XLOOKUP(Jnl[[#This Row],[Division]],config_div[Id], config_div[Name],,0)</f>
        <v>网店</v>
      </c>
      <c r="T120" t="str">
        <f>IF(Jnl[[#This Row],[TrxDate]]&lt;=stmt_BS_date_end, "In", "Out")</f>
        <v>Out</v>
      </c>
      <c r="U120" t="str">
        <f>IF(Jnl[[#This Row],[TrxDate]]&lt;debug_date_start, "prior", IF(Jnl[[#This Row],[TrxDate]]&gt;debug_date_end, "post", "curr"))</f>
        <v>curr</v>
      </c>
    </row>
    <row r="121" spans="1:21">
      <c r="A121" s="10" t="s">
        <v>280</v>
      </c>
      <c r="B121" s="6">
        <f>_xlfn.XLOOKUP(Jnl[[#This Row],[TrxId]], Trx[Id], Trx[Date],,0)</f>
        <v>46041</v>
      </c>
      <c r="C121" s="6" t="str">
        <f>_xlfn.XLOOKUP(Jnl[[#This Row],[TrxId]], Trx[Id], Trx[Division],,0)</f>
        <v>Online</v>
      </c>
      <c r="D121" s="6" t="str">
        <f>_xlfn.XLOOKUP(Jnl[[#This Row],[TrxId]], Trx[Id], Trx[Action],,0)</f>
        <v>入库</v>
      </c>
      <c r="E121" s="30" t="s">
        <v>87</v>
      </c>
      <c r="F121" s="10" t="s">
        <v>119</v>
      </c>
      <c r="G121" s="10" t="s">
        <v>154</v>
      </c>
      <c r="H121" s="21">
        <v>82225</v>
      </c>
      <c r="I121" s="11" t="b">
        <f>AND(Jnl[[#This Row],[TrxId]]&lt;&gt;"",Jnl[[#This Row],[Acct]]&lt;&gt;"",Jnl[[#This Row],[Item]]&lt;&gt;"",ISNUMBER(Jnl[[#This Row],[Bal]]))</f>
        <v>1</v>
      </c>
      <c r="J121" s="9">
        <f>IF(Jnl[[#This Row],[BSLv0]]="A",1,-1)*Jnl[[#This Row],[Bal]]</f>
        <v>82225</v>
      </c>
      <c r="K121" t="str">
        <f>_xlfn.XLOOKUP(Jnl[[#This Row],[Acct]], config_BS[Acct], config_BS[Lv0],,0)</f>
        <v>A</v>
      </c>
      <c r="L121" t="str">
        <f>_xlfn.XLOOKUP(Jnl[[#This Row],[Acct]], config_BS[Acct], config_BS[Lv1],,0)</f>
        <v>Assets</v>
      </c>
      <c r="M121" t="str">
        <f>_xlfn.XLOOKUP(Jnl[[#This Row],[Acct]], config_BS[Acct], config_BS[Lv2],,0)</f>
        <v>Invtr</v>
      </c>
      <c r="N121" t="str">
        <f>_xlfn.XLOOKUP(Jnl[[#This Row],[TrxId]], Trx[Id], Trx[IncNode], ,0)</f>
        <v>Cost</v>
      </c>
      <c r="O121" t="str">
        <f>_xlfn.XLOOKUP(Jnl[[#This Row],[IncNode]], config_IS[Node], config_IS[Type],,0)</f>
        <v>Op</v>
      </c>
      <c r="P121" t="str">
        <f>_xlfn.XLOOKUP(Jnl[[#This Row],[BSLv2]], dict[Key], dict[Name],,0)</f>
        <v>3.库存占款</v>
      </c>
      <c r="Q121" t="str">
        <f>_xlfn.XLOOKUP(Jnl[[#This Row],[Acct]], dict[Key], dict[Name],,0)</f>
        <v>当期存货</v>
      </c>
      <c r="R121" t="str">
        <f>_xlfn.XLOOKUP(Jnl[[#This Row],[Vehicle]],config_vehicle[Id], config_vehicle[Name],,0)</f>
        <v>桑木</v>
      </c>
      <c r="S121" t="str">
        <f>_xlfn.XLOOKUP(Jnl[[#This Row],[Division]],config_div[Id], config_div[Name],,0)</f>
        <v>网店</v>
      </c>
      <c r="T121" t="str">
        <f>IF(Jnl[[#This Row],[TrxDate]]&lt;=stmt_BS_date_end, "In", "Out")</f>
        <v>Out</v>
      </c>
      <c r="U121" t="str">
        <f>IF(Jnl[[#This Row],[TrxDate]]&lt;debug_date_start, "prior", IF(Jnl[[#This Row],[TrxDate]]&gt;debug_date_end, "post", "curr"))</f>
        <v>curr</v>
      </c>
    </row>
    <row r="122" spans="1:21">
      <c r="A122" s="10" t="s">
        <v>280</v>
      </c>
      <c r="B122" s="6">
        <f>_xlfn.XLOOKUP(Jnl[[#This Row],[TrxId]], Trx[Id], Trx[Date],,0)</f>
        <v>46041</v>
      </c>
      <c r="C122" s="6" t="str">
        <f>_xlfn.XLOOKUP(Jnl[[#This Row],[TrxId]], Trx[Id], Trx[Division],,0)</f>
        <v>Online</v>
      </c>
      <c r="D122" s="6" t="str">
        <f>_xlfn.XLOOKUP(Jnl[[#This Row],[TrxId]], Trx[Id], Trx[Action],,0)</f>
        <v>入库</v>
      </c>
      <c r="E122" s="30" t="s">
        <v>87</v>
      </c>
      <c r="F122" s="10" t="s">
        <v>118</v>
      </c>
      <c r="G122" s="10" t="s">
        <v>147</v>
      </c>
      <c r="H122" s="21">
        <v>-82225</v>
      </c>
      <c r="I122" s="11" t="b">
        <f>AND(Jnl[[#This Row],[TrxId]]&lt;&gt;"",Jnl[[#This Row],[Acct]]&lt;&gt;"",Jnl[[#This Row],[Item]]&lt;&gt;"",ISNUMBER(Jnl[[#This Row],[Bal]]))</f>
        <v>1</v>
      </c>
      <c r="J122" s="9">
        <f>IF(Jnl[[#This Row],[BSLv0]]="A",1,-1)*Jnl[[#This Row],[Bal]]</f>
        <v>-82225</v>
      </c>
      <c r="K122" t="str">
        <f>_xlfn.XLOOKUP(Jnl[[#This Row],[Acct]], config_BS[Acct], config_BS[Lv0],,0)</f>
        <v>A</v>
      </c>
      <c r="L122" t="str">
        <f>_xlfn.XLOOKUP(Jnl[[#This Row],[Acct]], config_BS[Acct], config_BS[Lv1],,0)</f>
        <v>Assets</v>
      </c>
      <c r="M122" t="str">
        <f>_xlfn.XLOOKUP(Jnl[[#This Row],[Acct]], config_BS[Acct], config_BS[Lv2],,0)</f>
        <v>Prep-Sub</v>
      </c>
      <c r="N122" t="str">
        <f>_xlfn.XLOOKUP(Jnl[[#This Row],[TrxId]], Trx[Id], Trx[IncNode], ,0)</f>
        <v>Cost</v>
      </c>
      <c r="O122" t="str">
        <f>_xlfn.XLOOKUP(Jnl[[#This Row],[IncNode]], config_IS[Node], config_IS[Type],,0)</f>
        <v>Op</v>
      </c>
      <c r="P122" t="str">
        <f>_xlfn.XLOOKUP(Jnl[[#This Row],[BSLv2]], dict[Key], dict[Name],,0)</f>
        <v>2.预付-订阅</v>
      </c>
      <c r="Q122" t="str">
        <f>_xlfn.XLOOKUP(Jnl[[#This Row],[Acct]], dict[Key], dict[Name],,0)</f>
        <v>订单</v>
      </c>
      <c r="R122" t="str">
        <f>_xlfn.XLOOKUP(Jnl[[#This Row],[Vehicle]],config_vehicle[Id], config_vehicle[Name],,0)</f>
        <v>桑木</v>
      </c>
      <c r="S122" t="str">
        <f>_xlfn.XLOOKUP(Jnl[[#This Row],[Division]],config_div[Id], config_div[Name],,0)</f>
        <v>网店</v>
      </c>
      <c r="T122" t="str">
        <f>IF(Jnl[[#This Row],[TrxDate]]&lt;=stmt_BS_date_end, "In", "Out")</f>
        <v>Out</v>
      </c>
      <c r="U122" t="str">
        <f>IF(Jnl[[#This Row],[TrxDate]]&lt;debug_date_start, "prior", IF(Jnl[[#This Row],[TrxDate]]&gt;debug_date_end, "post", "curr"))</f>
        <v>curr</v>
      </c>
    </row>
    <row r="123" spans="1:21">
      <c r="A123" s="10" t="s">
        <v>281</v>
      </c>
      <c r="B123" s="6">
        <f>_xlfn.XLOOKUP(Jnl[[#This Row],[TrxId]], Trx[Id], Trx[Date],,0)</f>
        <v>46041</v>
      </c>
      <c r="C123" s="6" t="str">
        <f>_xlfn.XLOOKUP(Jnl[[#This Row],[TrxId]], Trx[Id], Trx[Division],,0)</f>
        <v>Online</v>
      </c>
      <c r="D123" s="6" t="str">
        <f>_xlfn.XLOOKUP(Jnl[[#This Row],[TrxId]], Trx[Id], Trx[Action],,0)</f>
        <v>销售</v>
      </c>
      <c r="E123" s="30" t="s">
        <v>87</v>
      </c>
      <c r="F123" s="10" t="s">
        <v>12</v>
      </c>
      <c r="G123" s="10" t="s">
        <v>92</v>
      </c>
      <c r="H123" s="21">
        <v>2917.8</v>
      </c>
      <c r="I123" s="11" t="b">
        <f>AND(Jnl[[#This Row],[TrxId]]&lt;&gt;"",Jnl[[#This Row],[Acct]]&lt;&gt;"",Jnl[[#This Row],[Item]]&lt;&gt;"",ISNUMBER(Jnl[[#This Row],[Bal]]))</f>
        <v>1</v>
      </c>
      <c r="J123" s="9">
        <f>IF(Jnl[[#This Row],[BSLv0]]="A",1,-1)*Jnl[[#This Row],[Bal]]</f>
        <v>2917.8</v>
      </c>
      <c r="K123" t="str">
        <f>_xlfn.XLOOKUP(Jnl[[#This Row],[Acct]], config_BS[Acct], config_BS[Lv0],,0)</f>
        <v>A</v>
      </c>
      <c r="L123" t="str">
        <f>_xlfn.XLOOKUP(Jnl[[#This Row],[Acct]], config_BS[Acct], config_BS[Lv1],,0)</f>
        <v>Assets</v>
      </c>
      <c r="M123" t="str">
        <f>_xlfn.XLOOKUP(Jnl[[#This Row],[Acct]], config_BS[Acct], config_BS[Lv2],,0)</f>
        <v>Cash alike</v>
      </c>
      <c r="N123" t="str">
        <f>_xlfn.XLOOKUP(Jnl[[#This Row],[TrxId]], Trx[Id], Trx[IncNode], ,0)</f>
        <v>Revenue</v>
      </c>
      <c r="O123" t="str">
        <f>_xlfn.XLOOKUP(Jnl[[#This Row],[IncNode]], config_IS[Node], config_IS[Type],,0)</f>
        <v>Op</v>
      </c>
      <c r="P123" t="str">
        <f>_xlfn.XLOOKUP(Jnl[[#This Row],[BSLv2]], dict[Key], dict[Name],,0)</f>
        <v>0.现金及类似</v>
      </c>
      <c r="Q123" t="str">
        <f>_xlfn.XLOOKUP(Jnl[[#This Row],[Acct]], dict[Key], dict[Name],,0)</f>
        <v>银行</v>
      </c>
      <c r="R123" t="str">
        <f>_xlfn.XLOOKUP(Jnl[[#This Row],[Vehicle]],config_vehicle[Id], config_vehicle[Name],,0)</f>
        <v>桑木</v>
      </c>
      <c r="S123" t="str">
        <f>_xlfn.XLOOKUP(Jnl[[#This Row],[Division]],config_div[Id], config_div[Name],,0)</f>
        <v>网店</v>
      </c>
      <c r="T123" t="str">
        <f>IF(Jnl[[#This Row],[TrxDate]]&lt;=stmt_BS_date_end, "In", "Out")</f>
        <v>Out</v>
      </c>
      <c r="U123" t="str">
        <f>IF(Jnl[[#This Row],[TrxDate]]&lt;debug_date_start, "prior", IF(Jnl[[#This Row],[TrxDate]]&gt;debug_date_end, "post", "curr"))</f>
        <v>curr</v>
      </c>
    </row>
    <row r="124" spans="1:21">
      <c r="A124" s="10" t="s">
        <v>282</v>
      </c>
      <c r="B124" s="6">
        <f>_xlfn.XLOOKUP(Jnl[[#This Row],[TrxId]], Trx[Id], Trx[Date],,0)</f>
        <v>46041</v>
      </c>
      <c r="C124" s="6" t="str">
        <f>_xlfn.XLOOKUP(Jnl[[#This Row],[TrxId]], Trx[Id], Trx[Division],,0)</f>
        <v>Online</v>
      </c>
      <c r="D124" s="6" t="str">
        <f>_xlfn.XLOOKUP(Jnl[[#This Row],[TrxId]], Trx[Id], Trx[Action],,0)</f>
        <v>销售</v>
      </c>
      <c r="E124" s="30" t="s">
        <v>87</v>
      </c>
      <c r="F124" s="10" t="s">
        <v>12</v>
      </c>
      <c r="G124" s="10" t="s">
        <v>92</v>
      </c>
      <c r="H124" s="21">
        <v>19873.7</v>
      </c>
      <c r="I124" s="11" t="b">
        <f>AND(Jnl[[#This Row],[TrxId]]&lt;&gt;"",Jnl[[#This Row],[Acct]]&lt;&gt;"",Jnl[[#This Row],[Item]]&lt;&gt;"",ISNUMBER(Jnl[[#This Row],[Bal]]))</f>
        <v>1</v>
      </c>
      <c r="J124" s="9">
        <f>IF(Jnl[[#This Row],[BSLv0]]="A",1,-1)*Jnl[[#This Row],[Bal]]</f>
        <v>19873.7</v>
      </c>
      <c r="K124" t="str">
        <f>_xlfn.XLOOKUP(Jnl[[#This Row],[Acct]], config_BS[Acct], config_BS[Lv0],,0)</f>
        <v>A</v>
      </c>
      <c r="L124" t="str">
        <f>_xlfn.XLOOKUP(Jnl[[#This Row],[Acct]], config_BS[Acct], config_BS[Lv1],,0)</f>
        <v>Assets</v>
      </c>
      <c r="M124" t="str">
        <f>_xlfn.XLOOKUP(Jnl[[#This Row],[Acct]], config_BS[Acct], config_BS[Lv2],,0)</f>
        <v>Cash alike</v>
      </c>
      <c r="N124" t="str">
        <f>_xlfn.XLOOKUP(Jnl[[#This Row],[TrxId]], Trx[Id], Trx[IncNode], ,0)</f>
        <v>Revenue</v>
      </c>
      <c r="O124" t="str">
        <f>_xlfn.XLOOKUP(Jnl[[#This Row],[IncNode]], config_IS[Node], config_IS[Type],,0)</f>
        <v>Op</v>
      </c>
      <c r="P124" t="str">
        <f>_xlfn.XLOOKUP(Jnl[[#This Row],[BSLv2]], dict[Key], dict[Name],,0)</f>
        <v>0.现金及类似</v>
      </c>
      <c r="Q124" t="str">
        <f>_xlfn.XLOOKUP(Jnl[[#This Row],[Acct]], dict[Key], dict[Name],,0)</f>
        <v>银行</v>
      </c>
      <c r="R124" t="str">
        <f>_xlfn.XLOOKUP(Jnl[[#This Row],[Vehicle]],config_vehicle[Id], config_vehicle[Name],,0)</f>
        <v>桑木</v>
      </c>
      <c r="S124" t="str">
        <f>_xlfn.XLOOKUP(Jnl[[#This Row],[Division]],config_div[Id], config_div[Name],,0)</f>
        <v>网店</v>
      </c>
      <c r="T124" t="str">
        <f>IF(Jnl[[#This Row],[TrxDate]]&lt;=stmt_BS_date_end, "In", "Out")</f>
        <v>Out</v>
      </c>
      <c r="U124" t="str">
        <f>IF(Jnl[[#This Row],[TrxDate]]&lt;debug_date_start, "prior", IF(Jnl[[#This Row],[TrxDate]]&gt;debug_date_end, "post", "curr"))</f>
        <v>curr</v>
      </c>
    </row>
    <row r="125" spans="1:21">
      <c r="A125" s="10" t="s">
        <v>283</v>
      </c>
      <c r="B125" s="6">
        <f>_xlfn.XLOOKUP(Jnl[[#This Row],[TrxId]], Trx[Id], Trx[Date],,0)</f>
        <v>46042</v>
      </c>
      <c r="C125" s="6" t="str">
        <f>_xlfn.XLOOKUP(Jnl[[#This Row],[TrxId]], Trx[Id], Trx[Division],,0)</f>
        <v>Online</v>
      </c>
      <c r="D125" s="6" t="str">
        <f>_xlfn.XLOOKUP(Jnl[[#This Row],[TrxId]], Trx[Id], Trx[Action],,0)</f>
        <v>订购</v>
      </c>
      <c r="E125" s="30" t="s">
        <v>87</v>
      </c>
      <c r="F125" s="10" t="s">
        <v>118</v>
      </c>
      <c r="G125" s="10" t="s">
        <v>147</v>
      </c>
      <c r="H125" s="21">
        <v>12408</v>
      </c>
      <c r="I125" s="11" t="b">
        <f>AND(Jnl[[#This Row],[TrxId]]&lt;&gt;"",Jnl[[#This Row],[Acct]]&lt;&gt;"",Jnl[[#This Row],[Item]]&lt;&gt;"",ISNUMBER(Jnl[[#This Row],[Bal]]))</f>
        <v>1</v>
      </c>
      <c r="J125" s="9">
        <f>IF(Jnl[[#This Row],[BSLv0]]="A",1,-1)*Jnl[[#This Row],[Bal]]</f>
        <v>12408</v>
      </c>
      <c r="K125" t="str">
        <f>_xlfn.XLOOKUP(Jnl[[#This Row],[Acct]], config_BS[Acct], config_BS[Lv0],,0)</f>
        <v>A</v>
      </c>
      <c r="L125" t="str">
        <f>_xlfn.XLOOKUP(Jnl[[#This Row],[Acct]], config_BS[Acct], config_BS[Lv1],,0)</f>
        <v>Assets</v>
      </c>
      <c r="M125" t="str">
        <f>_xlfn.XLOOKUP(Jnl[[#This Row],[Acct]], config_BS[Acct], config_BS[Lv2],,0)</f>
        <v>Prep-Sub</v>
      </c>
      <c r="N125" t="str">
        <f>_xlfn.XLOOKUP(Jnl[[#This Row],[TrxId]], Trx[Id], Trx[IncNode], ,0)</f>
        <v>Cost</v>
      </c>
      <c r="O125" t="str">
        <f>_xlfn.XLOOKUP(Jnl[[#This Row],[IncNode]], config_IS[Node], config_IS[Type],,0)</f>
        <v>Op</v>
      </c>
      <c r="P125" t="str">
        <f>_xlfn.XLOOKUP(Jnl[[#This Row],[BSLv2]], dict[Key], dict[Name],,0)</f>
        <v>2.预付-订阅</v>
      </c>
      <c r="Q125" t="str">
        <f>_xlfn.XLOOKUP(Jnl[[#This Row],[Acct]], dict[Key], dict[Name],,0)</f>
        <v>订单</v>
      </c>
      <c r="R125" t="str">
        <f>_xlfn.XLOOKUP(Jnl[[#This Row],[Vehicle]],config_vehicle[Id], config_vehicle[Name],,0)</f>
        <v>桑木</v>
      </c>
      <c r="S125" t="str">
        <f>_xlfn.XLOOKUP(Jnl[[#This Row],[Division]],config_div[Id], config_div[Name],,0)</f>
        <v>网店</v>
      </c>
      <c r="T125" t="str">
        <f>IF(Jnl[[#This Row],[TrxDate]]&lt;=stmt_BS_date_end, "In", "Out")</f>
        <v>Out</v>
      </c>
      <c r="U125" t="str">
        <f>IF(Jnl[[#This Row],[TrxDate]]&lt;debug_date_start, "prior", IF(Jnl[[#This Row],[TrxDate]]&gt;debug_date_end, "post", "curr"))</f>
        <v>curr</v>
      </c>
    </row>
    <row r="126" spans="1:21">
      <c r="A126" s="10" t="s">
        <v>283</v>
      </c>
      <c r="B126" s="6">
        <f>_xlfn.XLOOKUP(Jnl[[#This Row],[TrxId]], Trx[Id], Trx[Date],,0)</f>
        <v>46042</v>
      </c>
      <c r="C126" s="6" t="str">
        <f>_xlfn.XLOOKUP(Jnl[[#This Row],[TrxId]], Trx[Id], Trx[Division],,0)</f>
        <v>Online</v>
      </c>
      <c r="D126" s="6" t="str">
        <f>_xlfn.XLOOKUP(Jnl[[#This Row],[TrxId]], Trx[Id], Trx[Action],,0)</f>
        <v>订购</v>
      </c>
      <c r="E126" s="30" t="s">
        <v>87</v>
      </c>
      <c r="F126" s="10" t="s">
        <v>12</v>
      </c>
      <c r="G126" s="10" t="s">
        <v>92</v>
      </c>
      <c r="H126" s="21">
        <v>-12408</v>
      </c>
      <c r="I126" s="11" t="b">
        <f>AND(Jnl[[#This Row],[TrxId]]&lt;&gt;"",Jnl[[#This Row],[Acct]]&lt;&gt;"",Jnl[[#This Row],[Item]]&lt;&gt;"",ISNUMBER(Jnl[[#This Row],[Bal]]))</f>
        <v>1</v>
      </c>
      <c r="J126" s="9">
        <f>IF(Jnl[[#This Row],[BSLv0]]="A",1,-1)*Jnl[[#This Row],[Bal]]</f>
        <v>-12408</v>
      </c>
      <c r="K126" t="str">
        <f>_xlfn.XLOOKUP(Jnl[[#This Row],[Acct]], config_BS[Acct], config_BS[Lv0],,0)</f>
        <v>A</v>
      </c>
      <c r="L126" t="str">
        <f>_xlfn.XLOOKUP(Jnl[[#This Row],[Acct]], config_BS[Acct], config_BS[Lv1],,0)</f>
        <v>Assets</v>
      </c>
      <c r="M126" t="str">
        <f>_xlfn.XLOOKUP(Jnl[[#This Row],[Acct]], config_BS[Acct], config_BS[Lv2],,0)</f>
        <v>Cash alike</v>
      </c>
      <c r="N126" t="str">
        <f>_xlfn.XLOOKUP(Jnl[[#This Row],[TrxId]], Trx[Id], Trx[IncNode], ,0)</f>
        <v>Cost</v>
      </c>
      <c r="O126" t="str">
        <f>_xlfn.XLOOKUP(Jnl[[#This Row],[IncNode]], config_IS[Node], config_IS[Type],,0)</f>
        <v>Op</v>
      </c>
      <c r="P126" t="str">
        <f>_xlfn.XLOOKUP(Jnl[[#This Row],[BSLv2]], dict[Key], dict[Name],,0)</f>
        <v>0.现金及类似</v>
      </c>
      <c r="Q126" t="str">
        <f>_xlfn.XLOOKUP(Jnl[[#This Row],[Acct]], dict[Key], dict[Name],,0)</f>
        <v>银行</v>
      </c>
      <c r="R126" t="str">
        <f>_xlfn.XLOOKUP(Jnl[[#This Row],[Vehicle]],config_vehicle[Id], config_vehicle[Name],,0)</f>
        <v>桑木</v>
      </c>
      <c r="S126" t="str">
        <f>_xlfn.XLOOKUP(Jnl[[#This Row],[Division]],config_div[Id], config_div[Name],,0)</f>
        <v>网店</v>
      </c>
      <c r="T126" t="str">
        <f>IF(Jnl[[#This Row],[TrxDate]]&lt;=stmt_BS_date_end, "In", "Out")</f>
        <v>Out</v>
      </c>
      <c r="U126" t="str">
        <f>IF(Jnl[[#This Row],[TrxDate]]&lt;debug_date_start, "prior", IF(Jnl[[#This Row],[TrxDate]]&gt;debug_date_end, "post", "curr"))</f>
        <v>curr</v>
      </c>
    </row>
    <row r="127" spans="1:21">
      <c r="A127" s="10" t="s">
        <v>284</v>
      </c>
      <c r="B127" s="6">
        <f>_xlfn.XLOOKUP(Jnl[[#This Row],[TrxId]], Trx[Id], Trx[Date],,0)</f>
        <v>46043</v>
      </c>
      <c r="C127" s="6" t="str">
        <f>_xlfn.XLOOKUP(Jnl[[#This Row],[TrxId]], Trx[Id], Trx[Division],,0)</f>
        <v>Ctrl</v>
      </c>
      <c r="D127" s="6" t="str">
        <f>_xlfn.XLOOKUP(Jnl[[#This Row],[TrxId]], Trx[Id], Trx[Action],,0)</f>
        <v>内部销售</v>
      </c>
      <c r="E127" s="30" t="s">
        <v>87</v>
      </c>
      <c r="F127" s="10" t="s">
        <v>12</v>
      </c>
      <c r="G127" s="10" t="s">
        <v>92</v>
      </c>
      <c r="H127" s="21">
        <v>421668.55</v>
      </c>
      <c r="I127" s="11" t="b">
        <f>AND(Jnl[[#This Row],[TrxId]]&lt;&gt;"",Jnl[[#This Row],[Acct]]&lt;&gt;"",Jnl[[#This Row],[Item]]&lt;&gt;"",ISNUMBER(Jnl[[#This Row],[Bal]]))</f>
        <v>1</v>
      </c>
      <c r="J127" s="9">
        <f>IF(Jnl[[#This Row],[BSLv0]]="A",1,-1)*Jnl[[#This Row],[Bal]]</f>
        <v>421668.55</v>
      </c>
      <c r="K127" t="str">
        <f>_xlfn.XLOOKUP(Jnl[[#This Row],[Acct]], config_BS[Acct], config_BS[Lv0],,0)</f>
        <v>A</v>
      </c>
      <c r="L127" t="str">
        <f>_xlfn.XLOOKUP(Jnl[[#This Row],[Acct]], config_BS[Acct], config_BS[Lv1],,0)</f>
        <v>Assets</v>
      </c>
      <c r="M127" t="str">
        <f>_xlfn.XLOOKUP(Jnl[[#This Row],[Acct]], config_BS[Acct], config_BS[Lv2],,0)</f>
        <v>Cash alike</v>
      </c>
      <c r="N127" t="str">
        <f>_xlfn.XLOOKUP(Jnl[[#This Row],[TrxId]], Trx[Id], Trx[IncNode], ,0)</f>
        <v>Other</v>
      </c>
      <c r="O127" t="str">
        <f>_xlfn.XLOOKUP(Jnl[[#This Row],[IncNode]], config_IS[Node], config_IS[Type],,0)</f>
        <v>Non-Op</v>
      </c>
      <c r="P127" t="str">
        <f>_xlfn.XLOOKUP(Jnl[[#This Row],[BSLv2]], dict[Key], dict[Name],,0)</f>
        <v>0.现金及类似</v>
      </c>
      <c r="Q127" t="str">
        <f>_xlfn.XLOOKUP(Jnl[[#This Row],[Acct]], dict[Key], dict[Name],,0)</f>
        <v>银行</v>
      </c>
      <c r="R127" t="str">
        <f>_xlfn.XLOOKUP(Jnl[[#This Row],[Vehicle]],config_vehicle[Id], config_vehicle[Name],,0)</f>
        <v>桑木</v>
      </c>
      <c r="S127" t="str">
        <f>_xlfn.XLOOKUP(Jnl[[#This Row],[Division]],config_div[Id], config_div[Name],,0)</f>
        <v>内控合规</v>
      </c>
      <c r="T127" t="str">
        <f>IF(Jnl[[#This Row],[TrxDate]]&lt;=stmt_BS_date_end, "In", "Out")</f>
        <v>Out</v>
      </c>
      <c r="U127" t="str">
        <f>IF(Jnl[[#This Row],[TrxDate]]&lt;debug_date_start, "prior", IF(Jnl[[#This Row],[TrxDate]]&gt;debug_date_end, "post", "curr"))</f>
        <v>curr</v>
      </c>
    </row>
    <row r="128" spans="1:21">
      <c r="A128" s="10" t="s">
        <v>284</v>
      </c>
      <c r="B128" s="6">
        <f>_xlfn.XLOOKUP(Jnl[[#This Row],[TrxId]], Trx[Id], Trx[Date],,0)</f>
        <v>46043</v>
      </c>
      <c r="C128" s="6" t="str">
        <f>_xlfn.XLOOKUP(Jnl[[#This Row],[TrxId]], Trx[Id], Trx[Division],,0)</f>
        <v>Ctrl</v>
      </c>
      <c r="D128" s="6" t="str">
        <f>_xlfn.XLOOKUP(Jnl[[#This Row],[TrxId]], Trx[Id], Trx[Action],,0)</f>
        <v>内部销售</v>
      </c>
      <c r="E128" s="30" t="s">
        <v>87</v>
      </c>
      <c r="F128" s="10" t="s">
        <v>119</v>
      </c>
      <c r="G128" s="41" t="s">
        <v>154</v>
      </c>
      <c r="H128" s="21">
        <v>-421668.55</v>
      </c>
      <c r="I128" s="11" t="b">
        <f>AND(Jnl[[#This Row],[TrxId]]&lt;&gt;"",Jnl[[#This Row],[Acct]]&lt;&gt;"",Jnl[[#This Row],[Item]]&lt;&gt;"",ISNUMBER(Jnl[[#This Row],[Bal]]))</f>
        <v>1</v>
      </c>
      <c r="J128" s="9">
        <f>IF(Jnl[[#This Row],[BSLv0]]="A",1,-1)*Jnl[[#This Row],[Bal]]</f>
        <v>-421668.55</v>
      </c>
      <c r="K128" t="str">
        <f>_xlfn.XLOOKUP(Jnl[[#This Row],[Acct]], config_BS[Acct], config_BS[Lv0],,0)</f>
        <v>A</v>
      </c>
      <c r="L128" t="str">
        <f>_xlfn.XLOOKUP(Jnl[[#This Row],[Acct]], config_BS[Acct], config_BS[Lv1],,0)</f>
        <v>Assets</v>
      </c>
      <c r="M128" t="str">
        <f>_xlfn.XLOOKUP(Jnl[[#This Row],[Acct]], config_BS[Acct], config_BS[Lv2],,0)</f>
        <v>Invtr</v>
      </c>
      <c r="N128" t="str">
        <f>_xlfn.XLOOKUP(Jnl[[#This Row],[TrxId]], Trx[Id], Trx[IncNode], ,0)</f>
        <v>Other</v>
      </c>
      <c r="O128" t="str">
        <f>_xlfn.XLOOKUP(Jnl[[#This Row],[IncNode]], config_IS[Node], config_IS[Type],,0)</f>
        <v>Non-Op</v>
      </c>
      <c r="P128" s="42" t="str">
        <f>_xlfn.XLOOKUP(Jnl[[#This Row],[BSLv2]], dict[Key], dict[Name],,0)</f>
        <v>3.库存占款</v>
      </c>
      <c r="Q128" s="42" t="str">
        <f>_xlfn.XLOOKUP(Jnl[[#This Row],[Acct]], dict[Key], dict[Name],,0)</f>
        <v>当期存货</v>
      </c>
      <c r="R128" s="42" t="str">
        <f>_xlfn.XLOOKUP(Jnl[[#This Row],[Vehicle]],config_vehicle[Id], config_vehicle[Name],,0)</f>
        <v>桑木</v>
      </c>
      <c r="S128" s="42" t="str">
        <f>_xlfn.XLOOKUP(Jnl[[#This Row],[Division]],config_div[Id], config_div[Name],,0)</f>
        <v>内控合规</v>
      </c>
      <c r="T128" s="42" t="str">
        <f>IF(Jnl[[#This Row],[TrxDate]]&lt;=stmt_BS_date_end, "In", "Out")</f>
        <v>Out</v>
      </c>
      <c r="U128" s="42" t="str">
        <f>IF(Jnl[[#This Row],[TrxDate]]&lt;debug_date_start, "prior", IF(Jnl[[#This Row],[TrxDate]]&gt;debug_date_end, "post", "curr"))</f>
        <v>curr</v>
      </c>
    </row>
    <row r="129" spans="1:21">
      <c r="A129" s="10" t="s">
        <v>285</v>
      </c>
      <c r="B129" s="6">
        <f>_xlfn.XLOOKUP(Jnl[[#This Row],[TrxId]], Trx[Id], Trx[Date],,0)</f>
        <v>46043</v>
      </c>
      <c r="C129" s="6" t="str">
        <f>_xlfn.XLOOKUP(Jnl[[#This Row],[TrxId]], Trx[Id], Trx[Division],,0)</f>
        <v>Ctrl</v>
      </c>
      <c r="D129" s="6" t="str">
        <f>_xlfn.XLOOKUP(Jnl[[#This Row],[TrxId]], Trx[Id], Trx[Action],,0)</f>
        <v>过账</v>
      </c>
      <c r="E129" s="30" t="s">
        <v>87</v>
      </c>
      <c r="F129" s="10" t="s">
        <v>12</v>
      </c>
      <c r="G129" s="10" t="s">
        <v>92</v>
      </c>
      <c r="H129" s="21">
        <v>-180000</v>
      </c>
      <c r="I129" s="11" t="b">
        <f>AND(Jnl[[#This Row],[TrxId]]&lt;&gt;"",Jnl[[#This Row],[Acct]]&lt;&gt;"",Jnl[[#This Row],[Item]]&lt;&gt;"",ISNUMBER(Jnl[[#This Row],[Bal]]))</f>
        <v>1</v>
      </c>
      <c r="J129" s="9">
        <f>IF(Jnl[[#This Row],[BSLv0]]="A",1,-1)*Jnl[[#This Row],[Bal]]</f>
        <v>-180000</v>
      </c>
      <c r="K129" t="str">
        <f>_xlfn.XLOOKUP(Jnl[[#This Row],[Acct]], config_BS[Acct], config_BS[Lv0],,0)</f>
        <v>A</v>
      </c>
      <c r="L129" t="str">
        <f>_xlfn.XLOOKUP(Jnl[[#This Row],[Acct]], config_BS[Acct], config_BS[Lv1],,0)</f>
        <v>Assets</v>
      </c>
      <c r="M129" t="str">
        <f>_xlfn.XLOOKUP(Jnl[[#This Row],[Acct]], config_BS[Acct], config_BS[Lv2],,0)</f>
        <v>Cash alike</v>
      </c>
      <c r="N129" t="str">
        <f>_xlfn.XLOOKUP(Jnl[[#This Row],[TrxId]], Trx[Id], Trx[IncNode], ,0)</f>
        <v>Other</v>
      </c>
      <c r="O129" t="str">
        <f>_xlfn.XLOOKUP(Jnl[[#This Row],[IncNode]], config_IS[Node], config_IS[Type],,0)</f>
        <v>Non-Op</v>
      </c>
      <c r="P129" t="str">
        <f>_xlfn.XLOOKUP(Jnl[[#This Row],[BSLv2]], dict[Key], dict[Name],,0)</f>
        <v>0.现金及类似</v>
      </c>
      <c r="Q129" t="str">
        <f>_xlfn.XLOOKUP(Jnl[[#This Row],[Acct]], dict[Key], dict[Name],,0)</f>
        <v>银行</v>
      </c>
      <c r="R129" t="str">
        <f>_xlfn.XLOOKUP(Jnl[[#This Row],[Vehicle]],config_vehicle[Id], config_vehicle[Name],,0)</f>
        <v>桑木</v>
      </c>
      <c r="S129" t="str">
        <f>_xlfn.XLOOKUP(Jnl[[#This Row],[Division]],config_div[Id], config_div[Name],,0)</f>
        <v>内控合规</v>
      </c>
      <c r="T129" t="str">
        <f>IF(Jnl[[#This Row],[TrxDate]]&lt;=stmt_BS_date_end, "In", "Out")</f>
        <v>Out</v>
      </c>
      <c r="U129" t="str">
        <f>IF(Jnl[[#This Row],[TrxDate]]&lt;debug_date_start, "prior", IF(Jnl[[#This Row],[TrxDate]]&gt;debug_date_end, "post", "curr"))</f>
        <v>curr</v>
      </c>
    </row>
    <row r="130" spans="1:21">
      <c r="A130" s="10" t="s">
        <v>285</v>
      </c>
      <c r="B130" s="6">
        <f>_xlfn.XLOOKUP(Jnl[[#This Row],[TrxId]], Trx[Id], Trx[Date],,0)</f>
        <v>46043</v>
      </c>
      <c r="C130" s="6" t="str">
        <f>_xlfn.XLOOKUP(Jnl[[#This Row],[TrxId]], Trx[Id], Trx[Division],,0)</f>
        <v>Ctrl</v>
      </c>
      <c r="D130" s="6" t="str">
        <f>_xlfn.XLOOKUP(Jnl[[#This Row],[TrxId]], Trx[Id], Trx[Action],,0)</f>
        <v>过账</v>
      </c>
      <c r="E130" s="30" t="s">
        <v>95</v>
      </c>
      <c r="F130" s="10" t="s">
        <v>12</v>
      </c>
      <c r="G130" s="41" t="s">
        <v>91</v>
      </c>
      <c r="H130" s="21"/>
      <c r="I130" s="11" t="b">
        <f>AND(Jnl[[#This Row],[TrxId]]&lt;&gt;"",Jnl[[#This Row],[Acct]]&lt;&gt;"",Jnl[[#This Row],[Item]]&lt;&gt;"",ISNUMBER(Jnl[[#This Row],[Bal]]))</f>
        <v>0</v>
      </c>
      <c r="J130" s="9">
        <f>IF(Jnl[[#This Row],[BSLv0]]="A",1,-1)*Jnl[[#This Row],[Bal]]</f>
        <v>0</v>
      </c>
      <c r="K130" t="str">
        <f>_xlfn.XLOOKUP(Jnl[[#This Row],[Acct]], config_BS[Acct], config_BS[Lv0],,0)</f>
        <v>A</v>
      </c>
      <c r="L130" t="str">
        <f>_xlfn.XLOOKUP(Jnl[[#This Row],[Acct]], config_BS[Acct], config_BS[Lv1],,0)</f>
        <v>Assets</v>
      </c>
      <c r="M130" t="str">
        <f>_xlfn.XLOOKUP(Jnl[[#This Row],[Acct]], config_BS[Acct], config_BS[Lv2],,0)</f>
        <v>Cash alike</v>
      </c>
      <c r="N130" t="str">
        <f>_xlfn.XLOOKUP(Jnl[[#This Row],[TrxId]], Trx[Id], Trx[IncNode], ,0)</f>
        <v>Other</v>
      </c>
      <c r="O130" t="str">
        <f>_xlfn.XLOOKUP(Jnl[[#This Row],[IncNode]], config_IS[Node], config_IS[Type],,0)</f>
        <v>Non-Op</v>
      </c>
      <c r="P130" s="42" t="str">
        <f>_xlfn.XLOOKUP(Jnl[[#This Row],[BSLv2]], dict[Key], dict[Name],,0)</f>
        <v>0.现金及类似</v>
      </c>
      <c r="Q130" s="42" t="str">
        <f>_xlfn.XLOOKUP(Jnl[[#This Row],[Acct]], dict[Key], dict[Name],,0)</f>
        <v>银行</v>
      </c>
      <c r="R130" s="42" t="str">
        <f>_xlfn.XLOOKUP(Jnl[[#This Row],[Vehicle]],config_vehicle[Id], config_vehicle[Name],,0)</f>
        <v>创业园-琦</v>
      </c>
      <c r="S130" s="42" t="str">
        <f>_xlfn.XLOOKUP(Jnl[[#This Row],[Division]],config_div[Id], config_div[Name],,0)</f>
        <v>内控合规</v>
      </c>
      <c r="T130" s="42" t="str">
        <f>IF(Jnl[[#This Row],[TrxDate]]&lt;=stmt_BS_date_end, "In", "Out")</f>
        <v>Out</v>
      </c>
      <c r="U130" s="42" t="str">
        <f>IF(Jnl[[#This Row],[TrxDate]]&lt;debug_date_start, "prior", IF(Jnl[[#This Row],[TrxDate]]&gt;debug_date_end, "post", "curr"))</f>
        <v>curr</v>
      </c>
    </row>
    <row r="131" spans="1:21">
      <c r="A131" s="10" t="s">
        <v>286</v>
      </c>
      <c r="B131" s="6">
        <f>_xlfn.XLOOKUP(Jnl[[#This Row],[TrxId]], Trx[Id], Trx[Date],,0)</f>
        <v>46045</v>
      </c>
      <c r="C131" s="6" t="str">
        <f>_xlfn.XLOOKUP(Jnl[[#This Row],[TrxId]], Trx[Id], Trx[Division],,0)</f>
        <v>Online</v>
      </c>
      <c r="D131" s="6" t="str">
        <f>_xlfn.XLOOKUP(Jnl[[#This Row],[TrxId]], Trx[Id], Trx[Action],,0)</f>
        <v>采购</v>
      </c>
      <c r="E131" s="30" t="s">
        <v>87</v>
      </c>
      <c r="F131" s="10" t="s">
        <v>12</v>
      </c>
      <c r="G131" s="10" t="s">
        <v>92</v>
      </c>
      <c r="H131" s="21">
        <v>-9960</v>
      </c>
      <c r="I131" s="11" t="b">
        <f>AND(Jnl[[#This Row],[TrxId]]&lt;&gt;"",Jnl[[#This Row],[Acct]]&lt;&gt;"",Jnl[[#This Row],[Item]]&lt;&gt;"",ISNUMBER(Jnl[[#This Row],[Bal]]))</f>
        <v>1</v>
      </c>
      <c r="J131" s="9">
        <f>IF(Jnl[[#This Row],[BSLv0]]="A",1,-1)*Jnl[[#This Row],[Bal]]</f>
        <v>-9960</v>
      </c>
      <c r="K131" t="str">
        <f>_xlfn.XLOOKUP(Jnl[[#This Row],[Acct]], config_BS[Acct], config_BS[Lv0],,0)</f>
        <v>A</v>
      </c>
      <c r="L131" t="str">
        <f>_xlfn.XLOOKUP(Jnl[[#This Row],[Acct]], config_BS[Acct], config_BS[Lv1],,0)</f>
        <v>Assets</v>
      </c>
      <c r="M131" t="str">
        <f>_xlfn.XLOOKUP(Jnl[[#This Row],[Acct]], config_BS[Acct], config_BS[Lv2],,0)</f>
        <v>Cash alike</v>
      </c>
      <c r="N131" t="str">
        <f>_xlfn.XLOOKUP(Jnl[[#This Row],[TrxId]], Trx[Id], Trx[IncNode], ,0)</f>
        <v>Cost</v>
      </c>
      <c r="O131" t="str">
        <f>_xlfn.XLOOKUP(Jnl[[#This Row],[IncNode]], config_IS[Node], config_IS[Type],,0)</f>
        <v>Op</v>
      </c>
      <c r="P131" t="str">
        <f>_xlfn.XLOOKUP(Jnl[[#This Row],[BSLv2]], dict[Key], dict[Name],,0)</f>
        <v>0.现金及类似</v>
      </c>
      <c r="Q131" t="str">
        <f>_xlfn.XLOOKUP(Jnl[[#This Row],[Acct]], dict[Key], dict[Name],,0)</f>
        <v>银行</v>
      </c>
      <c r="R131" t="str">
        <f>_xlfn.XLOOKUP(Jnl[[#This Row],[Vehicle]],config_vehicle[Id], config_vehicle[Name],,0)</f>
        <v>桑木</v>
      </c>
      <c r="S131" t="str">
        <f>_xlfn.XLOOKUP(Jnl[[#This Row],[Division]],config_div[Id], config_div[Name],,0)</f>
        <v>网店</v>
      </c>
      <c r="T131" t="str">
        <f>IF(Jnl[[#This Row],[TrxDate]]&lt;=stmt_BS_date_end, "In", "Out")</f>
        <v>Out</v>
      </c>
      <c r="U131" t="str">
        <f>IF(Jnl[[#This Row],[TrxDate]]&lt;debug_date_start, "prior", IF(Jnl[[#This Row],[TrxDate]]&gt;debug_date_end, "post", "curr"))</f>
        <v>curr</v>
      </c>
    </row>
    <row r="132" spans="1:21">
      <c r="A132" s="10" t="s">
        <v>286</v>
      </c>
      <c r="B132" s="6">
        <f>_xlfn.XLOOKUP(Jnl[[#This Row],[TrxId]], Trx[Id], Trx[Date],,0)</f>
        <v>46045</v>
      </c>
      <c r="C132" s="6" t="str">
        <f>_xlfn.XLOOKUP(Jnl[[#This Row],[TrxId]], Trx[Id], Trx[Division],,0)</f>
        <v>Online</v>
      </c>
      <c r="D132" s="6" t="str">
        <f>_xlfn.XLOOKUP(Jnl[[#This Row],[TrxId]], Trx[Id], Trx[Action],,0)</f>
        <v>采购</v>
      </c>
      <c r="E132" s="30" t="s">
        <v>87</v>
      </c>
      <c r="F132" s="10" t="s">
        <v>119</v>
      </c>
      <c r="G132" s="10" t="s">
        <v>154</v>
      </c>
      <c r="H132" s="21">
        <v>9960</v>
      </c>
      <c r="I132" s="11" t="b">
        <f>AND(Jnl[[#This Row],[TrxId]]&lt;&gt;"",Jnl[[#This Row],[Acct]]&lt;&gt;"",Jnl[[#This Row],[Item]]&lt;&gt;"",ISNUMBER(Jnl[[#This Row],[Bal]]))</f>
        <v>1</v>
      </c>
      <c r="J132" s="9">
        <f>IF(Jnl[[#This Row],[BSLv0]]="A",1,-1)*Jnl[[#This Row],[Bal]]</f>
        <v>9960</v>
      </c>
      <c r="K132" t="str">
        <f>_xlfn.XLOOKUP(Jnl[[#This Row],[Acct]], config_BS[Acct], config_BS[Lv0],,0)</f>
        <v>A</v>
      </c>
      <c r="L132" t="str">
        <f>_xlfn.XLOOKUP(Jnl[[#This Row],[Acct]], config_BS[Acct], config_BS[Lv1],,0)</f>
        <v>Assets</v>
      </c>
      <c r="M132" t="str">
        <f>_xlfn.XLOOKUP(Jnl[[#This Row],[Acct]], config_BS[Acct], config_BS[Lv2],,0)</f>
        <v>Invtr</v>
      </c>
      <c r="N132" t="str">
        <f>_xlfn.XLOOKUP(Jnl[[#This Row],[TrxId]], Trx[Id], Trx[IncNode], ,0)</f>
        <v>Cost</v>
      </c>
      <c r="O132" t="str">
        <f>_xlfn.XLOOKUP(Jnl[[#This Row],[IncNode]], config_IS[Node], config_IS[Type],,0)</f>
        <v>Op</v>
      </c>
      <c r="P132" t="str">
        <f>_xlfn.XLOOKUP(Jnl[[#This Row],[BSLv2]], dict[Key], dict[Name],,0)</f>
        <v>3.库存占款</v>
      </c>
      <c r="Q132" t="str">
        <f>_xlfn.XLOOKUP(Jnl[[#This Row],[Acct]], dict[Key], dict[Name],,0)</f>
        <v>当期存货</v>
      </c>
      <c r="R132" t="str">
        <f>_xlfn.XLOOKUP(Jnl[[#This Row],[Vehicle]],config_vehicle[Id], config_vehicle[Name],,0)</f>
        <v>桑木</v>
      </c>
      <c r="S132" t="str">
        <f>_xlfn.XLOOKUP(Jnl[[#This Row],[Division]],config_div[Id], config_div[Name],,0)</f>
        <v>网店</v>
      </c>
      <c r="T132" t="str">
        <f>IF(Jnl[[#This Row],[TrxDate]]&lt;=stmt_BS_date_end, "In", "Out")</f>
        <v>Out</v>
      </c>
      <c r="U132" t="str">
        <f>IF(Jnl[[#This Row],[TrxDate]]&lt;debug_date_start, "prior", IF(Jnl[[#This Row],[TrxDate]]&gt;debug_date_end, "post", "curr"))</f>
        <v>curr</v>
      </c>
    </row>
    <row r="133" spans="1:21">
      <c r="A133" s="10" t="s">
        <v>287</v>
      </c>
      <c r="B133" s="6">
        <f>_xlfn.XLOOKUP(Jnl[[#This Row],[TrxId]], Trx[Id], Trx[Date],,0)</f>
        <v>46045</v>
      </c>
      <c r="C133" s="6" t="str">
        <f>_xlfn.XLOOKUP(Jnl[[#This Row],[TrxId]], Trx[Id], Trx[Division],,0)</f>
        <v>GM</v>
      </c>
      <c r="D133" s="6" t="str">
        <f>_xlfn.XLOOKUP(Jnl[[#This Row],[TrxId]], Trx[Id], Trx[Action],,0)</f>
        <v>报销</v>
      </c>
      <c r="E133" s="30" t="s">
        <v>87</v>
      </c>
      <c r="F133" s="10" t="s">
        <v>12</v>
      </c>
      <c r="G133" s="10" t="s">
        <v>92</v>
      </c>
      <c r="H133" s="21">
        <v>-2153.5</v>
      </c>
      <c r="I133" s="11" t="b">
        <f>AND(Jnl[[#This Row],[TrxId]]&lt;&gt;"",Jnl[[#This Row],[Acct]]&lt;&gt;"",Jnl[[#This Row],[Item]]&lt;&gt;"",ISNUMBER(Jnl[[#This Row],[Bal]]))</f>
        <v>1</v>
      </c>
      <c r="J133" s="9">
        <f>IF(Jnl[[#This Row],[BSLv0]]="A",1,-1)*Jnl[[#This Row],[Bal]]</f>
        <v>-2153.5</v>
      </c>
      <c r="K133" t="str">
        <f>_xlfn.XLOOKUP(Jnl[[#This Row],[Acct]], config_BS[Acct], config_BS[Lv0],,0)</f>
        <v>A</v>
      </c>
      <c r="L133" t="str">
        <f>_xlfn.XLOOKUP(Jnl[[#This Row],[Acct]], config_BS[Acct], config_BS[Lv1],,0)</f>
        <v>Assets</v>
      </c>
      <c r="M133" t="str">
        <f>_xlfn.XLOOKUP(Jnl[[#This Row],[Acct]], config_BS[Acct], config_BS[Lv2],,0)</f>
        <v>Cash alike</v>
      </c>
      <c r="N133" t="str">
        <f>_xlfn.XLOOKUP(Jnl[[#This Row],[TrxId]], Trx[Id], Trx[IncNode], ,0)</f>
        <v>Expense</v>
      </c>
      <c r="O133" t="str">
        <f>_xlfn.XLOOKUP(Jnl[[#This Row],[IncNode]], config_IS[Node], config_IS[Type],,0)</f>
        <v>Op</v>
      </c>
      <c r="P133" t="str">
        <f>_xlfn.XLOOKUP(Jnl[[#This Row],[BSLv2]], dict[Key], dict[Name],,0)</f>
        <v>0.现金及类似</v>
      </c>
      <c r="Q133" t="str">
        <f>_xlfn.XLOOKUP(Jnl[[#This Row],[Acct]], dict[Key], dict[Name],,0)</f>
        <v>银行</v>
      </c>
      <c r="R133" t="str">
        <f>_xlfn.XLOOKUP(Jnl[[#This Row],[Vehicle]],config_vehicle[Id], config_vehicle[Name],,0)</f>
        <v>桑木</v>
      </c>
      <c r="S133" t="str">
        <f>_xlfn.XLOOKUP(Jnl[[#This Row],[Division]],config_div[Id], config_div[Name],,0)</f>
        <v>综合管理</v>
      </c>
      <c r="T133" t="str">
        <f>IF(Jnl[[#This Row],[TrxDate]]&lt;=stmt_BS_date_end, "In", "Out")</f>
        <v>Out</v>
      </c>
      <c r="U133" t="str">
        <f>IF(Jnl[[#This Row],[TrxDate]]&lt;debug_date_start, "prior", IF(Jnl[[#This Row],[TrxDate]]&gt;debug_date_end, "post", "curr"))</f>
        <v>curr</v>
      </c>
    </row>
    <row r="134" spans="1:21">
      <c r="A134" s="10" t="s">
        <v>288</v>
      </c>
      <c r="B134" s="6">
        <f>_xlfn.XLOOKUP(Jnl[[#This Row],[TrxId]], Trx[Id], Trx[Date],,0)</f>
        <v>46048</v>
      </c>
      <c r="C134" s="6" t="str">
        <f>_xlfn.XLOOKUP(Jnl[[#This Row],[TrxId]], Trx[Id], Trx[Division],,0)</f>
        <v>Ctrl</v>
      </c>
      <c r="D134" s="6" t="str">
        <f>_xlfn.XLOOKUP(Jnl[[#This Row],[TrxId]], Trx[Id], Trx[Action],,0)</f>
        <v>过账</v>
      </c>
      <c r="E134" s="30" t="s">
        <v>87</v>
      </c>
      <c r="F134" s="10" t="s">
        <v>12</v>
      </c>
      <c r="G134" s="10" t="s">
        <v>92</v>
      </c>
      <c r="H134" s="21">
        <v>-200000</v>
      </c>
      <c r="I134" s="11" t="b">
        <f>AND(Jnl[[#This Row],[TrxId]]&lt;&gt;"",Jnl[[#This Row],[Acct]]&lt;&gt;"",Jnl[[#This Row],[Item]]&lt;&gt;"",ISNUMBER(Jnl[[#This Row],[Bal]]))</f>
        <v>1</v>
      </c>
      <c r="J134" s="9">
        <f>IF(Jnl[[#This Row],[BSLv0]]="A",1,-1)*Jnl[[#This Row],[Bal]]</f>
        <v>-200000</v>
      </c>
      <c r="K134" t="str">
        <f>_xlfn.XLOOKUP(Jnl[[#This Row],[Acct]], config_BS[Acct], config_BS[Lv0],,0)</f>
        <v>A</v>
      </c>
      <c r="L134" t="str">
        <f>_xlfn.XLOOKUP(Jnl[[#This Row],[Acct]], config_BS[Acct], config_BS[Lv1],,0)</f>
        <v>Assets</v>
      </c>
      <c r="M134" t="str">
        <f>_xlfn.XLOOKUP(Jnl[[#This Row],[Acct]], config_BS[Acct], config_BS[Lv2],,0)</f>
        <v>Cash alike</v>
      </c>
      <c r="N134" t="str">
        <f>_xlfn.XLOOKUP(Jnl[[#This Row],[TrxId]], Trx[Id], Trx[IncNode], ,0)</f>
        <v>Other</v>
      </c>
      <c r="O134" t="str">
        <f>_xlfn.XLOOKUP(Jnl[[#This Row],[IncNode]], config_IS[Node], config_IS[Type],,0)</f>
        <v>Non-Op</v>
      </c>
      <c r="P134" t="str">
        <f>_xlfn.XLOOKUP(Jnl[[#This Row],[BSLv2]], dict[Key], dict[Name],,0)</f>
        <v>0.现金及类似</v>
      </c>
      <c r="Q134" t="str">
        <f>_xlfn.XLOOKUP(Jnl[[#This Row],[Acct]], dict[Key], dict[Name],,0)</f>
        <v>银行</v>
      </c>
      <c r="R134" t="str">
        <f>_xlfn.XLOOKUP(Jnl[[#This Row],[Vehicle]],config_vehicle[Id], config_vehicle[Name],,0)</f>
        <v>桑木</v>
      </c>
      <c r="S134" t="str">
        <f>_xlfn.XLOOKUP(Jnl[[#This Row],[Division]],config_div[Id], config_div[Name],,0)</f>
        <v>内控合规</v>
      </c>
      <c r="T134" t="str">
        <f>IF(Jnl[[#This Row],[TrxDate]]&lt;=stmt_BS_date_end, "In", "Out")</f>
        <v>Out</v>
      </c>
      <c r="U134" t="str">
        <f>IF(Jnl[[#This Row],[TrxDate]]&lt;debug_date_start, "prior", IF(Jnl[[#This Row],[TrxDate]]&gt;debug_date_end, "post", "curr"))</f>
        <v>curr</v>
      </c>
    </row>
    <row r="135" spans="1:21">
      <c r="A135" s="10" t="s">
        <v>288</v>
      </c>
      <c r="B135" s="6">
        <f>_xlfn.XLOOKUP(Jnl[[#This Row],[TrxId]], Trx[Id], Trx[Date],,0)</f>
        <v>46048</v>
      </c>
      <c r="C135" s="6" t="str">
        <f>_xlfn.XLOOKUP(Jnl[[#This Row],[TrxId]], Trx[Id], Trx[Division],,0)</f>
        <v>Ctrl</v>
      </c>
      <c r="D135" s="6" t="str">
        <f>_xlfn.XLOOKUP(Jnl[[#This Row],[TrxId]], Trx[Id], Trx[Action],,0)</f>
        <v>过账</v>
      </c>
      <c r="E135" s="30" t="s">
        <v>95</v>
      </c>
      <c r="F135" s="10" t="s">
        <v>12</v>
      </c>
      <c r="G135" s="41" t="s">
        <v>91</v>
      </c>
      <c r="H135" s="21"/>
      <c r="I135" s="11" t="b">
        <f>AND(Jnl[[#This Row],[TrxId]]&lt;&gt;"",Jnl[[#This Row],[Acct]]&lt;&gt;"",Jnl[[#This Row],[Item]]&lt;&gt;"",ISNUMBER(Jnl[[#This Row],[Bal]]))</f>
        <v>0</v>
      </c>
      <c r="J135" s="9">
        <f>IF(Jnl[[#This Row],[BSLv0]]="A",1,-1)*Jnl[[#This Row],[Bal]]</f>
        <v>0</v>
      </c>
      <c r="K135" t="str">
        <f>_xlfn.XLOOKUP(Jnl[[#This Row],[Acct]], config_BS[Acct], config_BS[Lv0],,0)</f>
        <v>A</v>
      </c>
      <c r="L135" t="str">
        <f>_xlfn.XLOOKUP(Jnl[[#This Row],[Acct]], config_BS[Acct], config_BS[Lv1],,0)</f>
        <v>Assets</v>
      </c>
      <c r="M135" t="str">
        <f>_xlfn.XLOOKUP(Jnl[[#This Row],[Acct]], config_BS[Acct], config_BS[Lv2],,0)</f>
        <v>Cash alike</v>
      </c>
      <c r="N135" t="str">
        <f>_xlfn.XLOOKUP(Jnl[[#This Row],[TrxId]], Trx[Id], Trx[IncNode], ,0)</f>
        <v>Other</v>
      </c>
      <c r="O135" t="str">
        <f>_xlfn.XLOOKUP(Jnl[[#This Row],[IncNode]], config_IS[Node], config_IS[Type],,0)</f>
        <v>Non-Op</v>
      </c>
      <c r="P135" s="42" t="str">
        <f>_xlfn.XLOOKUP(Jnl[[#This Row],[BSLv2]], dict[Key], dict[Name],,0)</f>
        <v>0.现金及类似</v>
      </c>
      <c r="Q135" s="42" t="str">
        <f>_xlfn.XLOOKUP(Jnl[[#This Row],[Acct]], dict[Key], dict[Name],,0)</f>
        <v>银行</v>
      </c>
      <c r="R135" s="42" t="str">
        <f>_xlfn.XLOOKUP(Jnl[[#This Row],[Vehicle]],config_vehicle[Id], config_vehicle[Name],,0)</f>
        <v>创业园-琦</v>
      </c>
      <c r="S135" s="42" t="str">
        <f>_xlfn.XLOOKUP(Jnl[[#This Row],[Division]],config_div[Id], config_div[Name],,0)</f>
        <v>内控合规</v>
      </c>
      <c r="T135" s="42" t="str">
        <f>IF(Jnl[[#This Row],[TrxDate]]&lt;=stmt_BS_date_end, "In", "Out")</f>
        <v>Out</v>
      </c>
      <c r="U135" s="42" t="str">
        <f>IF(Jnl[[#This Row],[TrxDate]]&lt;debug_date_start, "prior", IF(Jnl[[#This Row],[TrxDate]]&gt;debug_date_end, "post", "curr"))</f>
        <v>curr</v>
      </c>
    </row>
    <row r="136" spans="1:21">
      <c r="A136" s="10" t="s">
        <v>289</v>
      </c>
      <c r="B136" s="6">
        <f>_xlfn.XLOOKUP(Jnl[[#This Row],[TrxId]], Trx[Id], Trx[Date],,0)</f>
        <v>46049</v>
      </c>
      <c r="C136" s="6" t="str">
        <f>_xlfn.XLOOKUP(Jnl[[#This Row],[TrxId]], Trx[Id], Trx[Division],,0)</f>
        <v>Online</v>
      </c>
      <c r="D136" s="6" t="str">
        <f>_xlfn.XLOOKUP(Jnl[[#This Row],[TrxId]], Trx[Id], Trx[Action],,0)</f>
        <v>订购</v>
      </c>
      <c r="E136" s="30" t="s">
        <v>87</v>
      </c>
      <c r="F136" s="10" t="s">
        <v>118</v>
      </c>
      <c r="G136" s="10" t="s">
        <v>147</v>
      </c>
      <c r="H136" s="21">
        <v>37000</v>
      </c>
      <c r="I136" s="11" t="b">
        <f>AND(Jnl[[#This Row],[TrxId]]&lt;&gt;"",Jnl[[#This Row],[Acct]]&lt;&gt;"",Jnl[[#This Row],[Item]]&lt;&gt;"",ISNUMBER(Jnl[[#This Row],[Bal]]))</f>
        <v>1</v>
      </c>
      <c r="J136" s="9">
        <f>IF(Jnl[[#This Row],[BSLv0]]="A",1,-1)*Jnl[[#This Row],[Bal]]</f>
        <v>37000</v>
      </c>
      <c r="K136" t="str">
        <f>_xlfn.XLOOKUP(Jnl[[#This Row],[Acct]], config_BS[Acct], config_BS[Lv0],,0)</f>
        <v>A</v>
      </c>
      <c r="L136" t="str">
        <f>_xlfn.XLOOKUP(Jnl[[#This Row],[Acct]], config_BS[Acct], config_BS[Lv1],,0)</f>
        <v>Assets</v>
      </c>
      <c r="M136" t="str">
        <f>_xlfn.XLOOKUP(Jnl[[#This Row],[Acct]], config_BS[Acct], config_BS[Lv2],,0)</f>
        <v>Prep-Sub</v>
      </c>
      <c r="N136" t="str">
        <f>_xlfn.XLOOKUP(Jnl[[#This Row],[TrxId]], Trx[Id], Trx[IncNode], ,0)</f>
        <v>Cost</v>
      </c>
      <c r="O136" t="str">
        <f>_xlfn.XLOOKUP(Jnl[[#This Row],[IncNode]], config_IS[Node], config_IS[Type],,0)</f>
        <v>Op</v>
      </c>
      <c r="P136" t="str">
        <f>_xlfn.XLOOKUP(Jnl[[#This Row],[BSLv2]], dict[Key], dict[Name],,0)</f>
        <v>2.预付-订阅</v>
      </c>
      <c r="Q136" t="str">
        <f>_xlfn.XLOOKUP(Jnl[[#This Row],[Acct]], dict[Key], dict[Name],,0)</f>
        <v>订单</v>
      </c>
      <c r="R136" t="str">
        <f>_xlfn.XLOOKUP(Jnl[[#This Row],[Vehicle]],config_vehicle[Id], config_vehicle[Name],,0)</f>
        <v>桑木</v>
      </c>
      <c r="S136" t="str">
        <f>_xlfn.XLOOKUP(Jnl[[#This Row],[Division]],config_div[Id], config_div[Name],,0)</f>
        <v>网店</v>
      </c>
      <c r="T136" t="str">
        <f>IF(Jnl[[#This Row],[TrxDate]]&lt;=stmt_BS_date_end, "In", "Out")</f>
        <v>Out</v>
      </c>
      <c r="U136" t="str">
        <f>IF(Jnl[[#This Row],[TrxDate]]&lt;debug_date_start, "prior", IF(Jnl[[#This Row],[TrxDate]]&gt;debug_date_end, "post", "curr"))</f>
        <v>curr</v>
      </c>
    </row>
    <row r="137" spans="1:21">
      <c r="A137" s="10" t="s">
        <v>289</v>
      </c>
      <c r="B137" s="6">
        <f>_xlfn.XLOOKUP(Jnl[[#This Row],[TrxId]], Trx[Id], Trx[Date],,0)</f>
        <v>46049</v>
      </c>
      <c r="C137" s="6" t="str">
        <f>_xlfn.XLOOKUP(Jnl[[#This Row],[TrxId]], Trx[Id], Trx[Division],,0)</f>
        <v>Online</v>
      </c>
      <c r="D137" s="6" t="str">
        <f>_xlfn.XLOOKUP(Jnl[[#This Row],[TrxId]], Trx[Id], Trx[Action],,0)</f>
        <v>订购</v>
      </c>
      <c r="E137" s="30" t="s">
        <v>87</v>
      </c>
      <c r="F137" s="10" t="s">
        <v>12</v>
      </c>
      <c r="G137" s="10" t="s">
        <v>92</v>
      </c>
      <c r="H137" s="21">
        <v>-37000</v>
      </c>
      <c r="I137" s="11" t="b">
        <f>AND(Jnl[[#This Row],[TrxId]]&lt;&gt;"",Jnl[[#This Row],[Acct]]&lt;&gt;"",Jnl[[#This Row],[Item]]&lt;&gt;"",ISNUMBER(Jnl[[#This Row],[Bal]]))</f>
        <v>1</v>
      </c>
      <c r="J137" s="9">
        <f>IF(Jnl[[#This Row],[BSLv0]]="A",1,-1)*Jnl[[#This Row],[Bal]]</f>
        <v>-37000</v>
      </c>
      <c r="K137" t="str">
        <f>_xlfn.XLOOKUP(Jnl[[#This Row],[Acct]], config_BS[Acct], config_BS[Lv0],,0)</f>
        <v>A</v>
      </c>
      <c r="L137" t="str">
        <f>_xlfn.XLOOKUP(Jnl[[#This Row],[Acct]], config_BS[Acct], config_BS[Lv1],,0)</f>
        <v>Assets</v>
      </c>
      <c r="M137" t="str">
        <f>_xlfn.XLOOKUP(Jnl[[#This Row],[Acct]], config_BS[Acct], config_BS[Lv2],,0)</f>
        <v>Cash alike</v>
      </c>
      <c r="N137" t="str">
        <f>_xlfn.XLOOKUP(Jnl[[#This Row],[TrxId]], Trx[Id], Trx[IncNode], ,0)</f>
        <v>Cost</v>
      </c>
      <c r="O137" t="str">
        <f>_xlfn.XLOOKUP(Jnl[[#This Row],[IncNode]], config_IS[Node], config_IS[Type],,0)</f>
        <v>Op</v>
      </c>
      <c r="P137" t="str">
        <f>_xlfn.XLOOKUP(Jnl[[#This Row],[BSLv2]], dict[Key], dict[Name],,0)</f>
        <v>0.现金及类似</v>
      </c>
      <c r="Q137" t="str">
        <f>_xlfn.XLOOKUP(Jnl[[#This Row],[Acct]], dict[Key], dict[Name],,0)</f>
        <v>银行</v>
      </c>
      <c r="R137" t="str">
        <f>_xlfn.XLOOKUP(Jnl[[#This Row],[Vehicle]],config_vehicle[Id], config_vehicle[Name],,0)</f>
        <v>桑木</v>
      </c>
      <c r="S137" t="str">
        <f>_xlfn.XLOOKUP(Jnl[[#This Row],[Division]],config_div[Id], config_div[Name],,0)</f>
        <v>网店</v>
      </c>
      <c r="T137" t="str">
        <f>IF(Jnl[[#This Row],[TrxDate]]&lt;=stmt_BS_date_end, "In", "Out")</f>
        <v>Out</v>
      </c>
      <c r="U137" t="str">
        <f>IF(Jnl[[#This Row],[TrxDate]]&lt;debug_date_start, "prior", IF(Jnl[[#This Row],[TrxDate]]&gt;debug_date_end, "post", "curr"))</f>
        <v>curr</v>
      </c>
    </row>
    <row r="138" spans="1:21">
      <c r="A138" s="10" t="s">
        <v>290</v>
      </c>
      <c r="B138" s="6">
        <f>_xlfn.XLOOKUP(Jnl[[#This Row],[TrxId]], Trx[Id], Trx[Date],,0)</f>
        <v>46049</v>
      </c>
      <c r="C138" s="6" t="str">
        <f>_xlfn.XLOOKUP(Jnl[[#This Row],[TrxId]], Trx[Id], Trx[Division],,0)</f>
        <v>Online</v>
      </c>
      <c r="D138" s="6" t="str">
        <f>_xlfn.XLOOKUP(Jnl[[#This Row],[TrxId]], Trx[Id], Trx[Action],,0)</f>
        <v>附加</v>
      </c>
      <c r="E138" s="30" t="s">
        <v>87</v>
      </c>
      <c r="F138" s="10" t="s">
        <v>130</v>
      </c>
      <c r="G138" s="10" t="s">
        <v>297</v>
      </c>
      <c r="H138" s="21">
        <v>4400.6000000000004</v>
      </c>
      <c r="I138" s="11" t="b">
        <f>AND(Jnl[[#This Row],[TrxId]]&lt;&gt;"",Jnl[[#This Row],[Acct]]&lt;&gt;"",Jnl[[#This Row],[Item]]&lt;&gt;"",ISNUMBER(Jnl[[#This Row],[Bal]]))</f>
        <v>1</v>
      </c>
      <c r="J138" s="9">
        <f>IF(Jnl[[#This Row],[BSLv0]]="A",1,-1)*Jnl[[#This Row],[Bal]]</f>
        <v>-4400.6000000000004</v>
      </c>
      <c r="K138" t="str">
        <f>_xlfn.XLOOKUP(Jnl[[#This Row],[Acct]], config_BS[Acct], config_BS[Lv0],,0)</f>
        <v>LC</v>
      </c>
      <c r="L138" t="str">
        <f>_xlfn.XLOOKUP(Jnl[[#This Row],[Acct]], config_BS[Acct], config_BS[Lv1],,0)</f>
        <v>Liability</v>
      </c>
      <c r="M138" t="str">
        <f>_xlfn.XLOOKUP(Jnl[[#This Row],[Acct]], config_BS[Acct], config_BS[Lv2],,0)</f>
        <v>Rec-Pay</v>
      </c>
      <c r="N138" t="str">
        <f>_xlfn.XLOOKUP(Jnl[[#This Row],[TrxId]], Trx[Id], Trx[IncNode], ,0)</f>
        <v>Revenue</v>
      </c>
      <c r="O138" t="str">
        <f>_xlfn.XLOOKUP(Jnl[[#This Row],[IncNode]], config_IS[Node], config_IS[Type],,0)</f>
        <v>Op</v>
      </c>
      <c r="P138" t="str">
        <f>_xlfn.XLOOKUP(Jnl[[#This Row],[BSLv2]], dict[Key], dict[Name],,0)</f>
        <v>1.应收-应付</v>
      </c>
      <c r="Q138" t="str">
        <f>_xlfn.XLOOKUP(Jnl[[#This Row],[Acct]], dict[Key], dict[Name],,0)</f>
        <v>应付-税款</v>
      </c>
      <c r="R138" t="str">
        <f>_xlfn.XLOOKUP(Jnl[[#This Row],[Vehicle]],config_vehicle[Id], config_vehicle[Name],,0)</f>
        <v>桑木</v>
      </c>
      <c r="S138" t="str">
        <f>_xlfn.XLOOKUP(Jnl[[#This Row],[Division]],config_div[Id], config_div[Name],,0)</f>
        <v>网店</v>
      </c>
      <c r="T138" t="str">
        <f>IF(Jnl[[#This Row],[TrxDate]]&lt;=stmt_BS_date_end, "In", "Out")</f>
        <v>Out</v>
      </c>
      <c r="U138" t="str">
        <f>IF(Jnl[[#This Row],[TrxDate]]&lt;debug_date_start, "prior", IF(Jnl[[#This Row],[TrxDate]]&gt;debug_date_end, "post", "curr"))</f>
        <v>curr</v>
      </c>
    </row>
    <row r="139" spans="1:21">
      <c r="A139" s="10" t="s">
        <v>291</v>
      </c>
      <c r="B139" s="6">
        <f>_xlfn.XLOOKUP(Jnl[[#This Row],[TrxId]], Trx[Id], Trx[Date],,0)</f>
        <v>46052</v>
      </c>
      <c r="C139" s="6" t="str">
        <f>_xlfn.XLOOKUP(Jnl[[#This Row],[TrxId]], Trx[Id], Trx[Division],,0)</f>
        <v>Online</v>
      </c>
      <c r="D139" s="6" t="str">
        <f>_xlfn.XLOOKUP(Jnl[[#This Row],[TrxId]], Trx[Id], Trx[Action],,0)</f>
        <v>订购</v>
      </c>
      <c r="E139" s="30" t="s">
        <v>87</v>
      </c>
      <c r="F139" s="10" t="s">
        <v>118</v>
      </c>
      <c r="G139" s="10" t="s">
        <v>147</v>
      </c>
      <c r="H139" s="21">
        <v>53395</v>
      </c>
      <c r="I139" s="11" t="b">
        <f>AND(Jnl[[#This Row],[TrxId]]&lt;&gt;"",Jnl[[#This Row],[Acct]]&lt;&gt;"",Jnl[[#This Row],[Item]]&lt;&gt;"",ISNUMBER(Jnl[[#This Row],[Bal]]))</f>
        <v>1</v>
      </c>
      <c r="J139" s="9">
        <f>IF(Jnl[[#This Row],[BSLv0]]="A",1,-1)*Jnl[[#This Row],[Bal]]</f>
        <v>53395</v>
      </c>
      <c r="K139" t="str">
        <f>_xlfn.XLOOKUP(Jnl[[#This Row],[Acct]], config_BS[Acct], config_BS[Lv0],,0)</f>
        <v>A</v>
      </c>
      <c r="L139" t="str">
        <f>_xlfn.XLOOKUP(Jnl[[#This Row],[Acct]], config_BS[Acct], config_BS[Lv1],,0)</f>
        <v>Assets</v>
      </c>
      <c r="M139" t="str">
        <f>_xlfn.XLOOKUP(Jnl[[#This Row],[Acct]], config_BS[Acct], config_BS[Lv2],,0)</f>
        <v>Prep-Sub</v>
      </c>
      <c r="N139" t="str">
        <f>_xlfn.XLOOKUP(Jnl[[#This Row],[TrxId]], Trx[Id], Trx[IncNode], ,0)</f>
        <v>Cost</v>
      </c>
      <c r="O139" t="str">
        <f>_xlfn.XLOOKUP(Jnl[[#This Row],[IncNode]], config_IS[Node], config_IS[Type],,0)</f>
        <v>Op</v>
      </c>
      <c r="P139" t="str">
        <f>_xlfn.XLOOKUP(Jnl[[#This Row],[BSLv2]], dict[Key], dict[Name],,0)</f>
        <v>2.预付-订阅</v>
      </c>
      <c r="Q139" t="str">
        <f>_xlfn.XLOOKUP(Jnl[[#This Row],[Acct]], dict[Key], dict[Name],,0)</f>
        <v>订单</v>
      </c>
      <c r="R139" t="str">
        <f>_xlfn.XLOOKUP(Jnl[[#This Row],[Vehicle]],config_vehicle[Id], config_vehicle[Name],,0)</f>
        <v>桑木</v>
      </c>
      <c r="S139" t="str">
        <f>_xlfn.XLOOKUP(Jnl[[#This Row],[Division]],config_div[Id], config_div[Name],,0)</f>
        <v>网店</v>
      </c>
      <c r="T139" t="str">
        <f>IF(Jnl[[#This Row],[TrxDate]]&lt;=stmt_BS_date_end, "In", "Out")</f>
        <v>Out</v>
      </c>
      <c r="U139" t="str">
        <f>IF(Jnl[[#This Row],[TrxDate]]&lt;debug_date_start, "prior", IF(Jnl[[#This Row],[TrxDate]]&gt;debug_date_end, "post", "curr"))</f>
        <v>curr</v>
      </c>
    </row>
    <row r="140" spans="1:21">
      <c r="A140" s="10" t="s">
        <v>291</v>
      </c>
      <c r="B140" s="6">
        <f>_xlfn.XLOOKUP(Jnl[[#This Row],[TrxId]], Trx[Id], Trx[Date],,0)</f>
        <v>46052</v>
      </c>
      <c r="C140" s="6" t="str">
        <f>_xlfn.XLOOKUP(Jnl[[#This Row],[TrxId]], Trx[Id], Trx[Division],,0)</f>
        <v>Online</v>
      </c>
      <c r="D140" s="6" t="str">
        <f>_xlfn.XLOOKUP(Jnl[[#This Row],[TrxId]], Trx[Id], Trx[Action],,0)</f>
        <v>订购</v>
      </c>
      <c r="E140" s="30" t="s">
        <v>87</v>
      </c>
      <c r="F140" s="10" t="s">
        <v>12</v>
      </c>
      <c r="G140" s="10" t="s">
        <v>92</v>
      </c>
      <c r="H140" s="21">
        <v>-53395</v>
      </c>
      <c r="I140" s="11" t="b">
        <f>AND(Jnl[[#This Row],[TrxId]]&lt;&gt;"",Jnl[[#This Row],[Acct]]&lt;&gt;"",Jnl[[#This Row],[Item]]&lt;&gt;"",ISNUMBER(Jnl[[#This Row],[Bal]]))</f>
        <v>1</v>
      </c>
      <c r="J140" s="9">
        <f>IF(Jnl[[#This Row],[BSLv0]]="A",1,-1)*Jnl[[#This Row],[Bal]]</f>
        <v>-53395</v>
      </c>
      <c r="K140" t="str">
        <f>_xlfn.XLOOKUP(Jnl[[#This Row],[Acct]], config_BS[Acct], config_BS[Lv0],,0)</f>
        <v>A</v>
      </c>
      <c r="L140" t="str">
        <f>_xlfn.XLOOKUP(Jnl[[#This Row],[Acct]], config_BS[Acct], config_BS[Lv1],,0)</f>
        <v>Assets</v>
      </c>
      <c r="M140" t="str">
        <f>_xlfn.XLOOKUP(Jnl[[#This Row],[Acct]], config_BS[Acct], config_BS[Lv2],,0)</f>
        <v>Cash alike</v>
      </c>
      <c r="N140" t="str">
        <f>_xlfn.XLOOKUP(Jnl[[#This Row],[TrxId]], Trx[Id], Trx[IncNode], ,0)</f>
        <v>Cost</v>
      </c>
      <c r="O140" t="str">
        <f>_xlfn.XLOOKUP(Jnl[[#This Row],[IncNode]], config_IS[Node], config_IS[Type],,0)</f>
        <v>Op</v>
      </c>
      <c r="P140" t="str">
        <f>_xlfn.XLOOKUP(Jnl[[#This Row],[BSLv2]], dict[Key], dict[Name],,0)</f>
        <v>0.现金及类似</v>
      </c>
      <c r="Q140" t="str">
        <f>_xlfn.XLOOKUP(Jnl[[#This Row],[Acct]], dict[Key], dict[Name],,0)</f>
        <v>银行</v>
      </c>
      <c r="R140" t="str">
        <f>_xlfn.XLOOKUP(Jnl[[#This Row],[Vehicle]],config_vehicle[Id], config_vehicle[Name],,0)</f>
        <v>桑木</v>
      </c>
      <c r="S140" t="str">
        <f>_xlfn.XLOOKUP(Jnl[[#This Row],[Division]],config_div[Id], config_div[Name],,0)</f>
        <v>网店</v>
      </c>
      <c r="T140" t="str">
        <f>IF(Jnl[[#This Row],[TrxDate]]&lt;=stmt_BS_date_end, "In", "Out")</f>
        <v>Out</v>
      </c>
      <c r="U140" t="str">
        <f>IF(Jnl[[#This Row],[TrxDate]]&lt;debug_date_start, "prior", IF(Jnl[[#This Row],[TrxDate]]&gt;debug_date_end, "post", "curr"))</f>
        <v>curr</v>
      </c>
    </row>
    <row r="141" spans="1:21">
      <c r="A141" s="10" t="s">
        <v>292</v>
      </c>
      <c r="B141" s="6">
        <f>_xlfn.XLOOKUP(Jnl[[#This Row],[TrxId]], Trx[Id], Trx[Date],,0)</f>
        <v>46052</v>
      </c>
      <c r="C141" s="6" t="str">
        <f>_xlfn.XLOOKUP(Jnl[[#This Row],[TrxId]], Trx[Id], Trx[Division],,0)</f>
        <v>Online</v>
      </c>
      <c r="D141" s="6" t="str">
        <f>_xlfn.XLOOKUP(Jnl[[#This Row],[TrxId]], Trx[Id], Trx[Action],,0)</f>
        <v>入库</v>
      </c>
      <c r="E141" s="30" t="s">
        <v>87</v>
      </c>
      <c r="F141" s="10" t="s">
        <v>119</v>
      </c>
      <c r="G141" s="10" t="s">
        <v>154</v>
      </c>
      <c r="H141" s="21">
        <v>77395</v>
      </c>
      <c r="I141" s="11" t="b">
        <f>AND(Jnl[[#This Row],[TrxId]]&lt;&gt;"",Jnl[[#This Row],[Acct]]&lt;&gt;"",Jnl[[#This Row],[Item]]&lt;&gt;"",ISNUMBER(Jnl[[#This Row],[Bal]]))</f>
        <v>1</v>
      </c>
      <c r="J141" s="9">
        <f>IF(Jnl[[#This Row],[BSLv0]]="A",1,-1)*Jnl[[#This Row],[Bal]]</f>
        <v>77395</v>
      </c>
      <c r="K141" t="str">
        <f>_xlfn.XLOOKUP(Jnl[[#This Row],[Acct]], config_BS[Acct], config_BS[Lv0],,0)</f>
        <v>A</v>
      </c>
      <c r="L141" t="str">
        <f>_xlfn.XLOOKUP(Jnl[[#This Row],[Acct]], config_BS[Acct], config_BS[Lv1],,0)</f>
        <v>Assets</v>
      </c>
      <c r="M141" t="str">
        <f>_xlfn.XLOOKUP(Jnl[[#This Row],[Acct]], config_BS[Acct], config_BS[Lv2],,0)</f>
        <v>Invtr</v>
      </c>
      <c r="N141" t="str">
        <f>_xlfn.XLOOKUP(Jnl[[#This Row],[TrxId]], Trx[Id], Trx[IncNode], ,0)</f>
        <v>Cost</v>
      </c>
      <c r="O141" t="str">
        <f>_xlfn.XLOOKUP(Jnl[[#This Row],[IncNode]], config_IS[Node], config_IS[Type],,0)</f>
        <v>Op</v>
      </c>
      <c r="P141" t="str">
        <f>_xlfn.XLOOKUP(Jnl[[#This Row],[BSLv2]], dict[Key], dict[Name],,0)</f>
        <v>3.库存占款</v>
      </c>
      <c r="Q141" t="str">
        <f>_xlfn.XLOOKUP(Jnl[[#This Row],[Acct]], dict[Key], dict[Name],,0)</f>
        <v>当期存货</v>
      </c>
      <c r="R141" t="str">
        <f>_xlfn.XLOOKUP(Jnl[[#This Row],[Vehicle]],config_vehicle[Id], config_vehicle[Name],,0)</f>
        <v>桑木</v>
      </c>
      <c r="S141" t="str">
        <f>_xlfn.XLOOKUP(Jnl[[#This Row],[Division]],config_div[Id], config_div[Name],,0)</f>
        <v>网店</v>
      </c>
      <c r="T141" t="str">
        <f>IF(Jnl[[#This Row],[TrxDate]]&lt;=stmt_BS_date_end, "In", "Out")</f>
        <v>Out</v>
      </c>
      <c r="U141" t="str">
        <f>IF(Jnl[[#This Row],[TrxDate]]&lt;debug_date_start, "prior", IF(Jnl[[#This Row],[TrxDate]]&gt;debug_date_end, "post", "curr"))</f>
        <v>curr</v>
      </c>
    </row>
    <row r="142" spans="1:21">
      <c r="A142" s="10" t="s">
        <v>292</v>
      </c>
      <c r="B142" s="6">
        <f>_xlfn.XLOOKUP(Jnl[[#This Row],[TrxId]], Trx[Id], Trx[Date],,0)</f>
        <v>46052</v>
      </c>
      <c r="C142" s="6" t="str">
        <f>_xlfn.XLOOKUP(Jnl[[#This Row],[TrxId]], Trx[Id], Trx[Division],,0)</f>
        <v>Online</v>
      </c>
      <c r="D142" s="6" t="str">
        <f>_xlfn.XLOOKUP(Jnl[[#This Row],[TrxId]], Trx[Id], Trx[Action],,0)</f>
        <v>入库</v>
      </c>
      <c r="E142" s="30" t="s">
        <v>87</v>
      </c>
      <c r="F142" s="10" t="s">
        <v>118</v>
      </c>
      <c r="G142" s="10" t="s">
        <v>147</v>
      </c>
      <c r="H142" s="21">
        <v>-77395</v>
      </c>
      <c r="I142" s="11" t="b">
        <f>AND(Jnl[[#This Row],[TrxId]]&lt;&gt;"",Jnl[[#This Row],[Acct]]&lt;&gt;"",Jnl[[#This Row],[Item]]&lt;&gt;"",ISNUMBER(Jnl[[#This Row],[Bal]]))</f>
        <v>1</v>
      </c>
      <c r="J142" s="9">
        <f>IF(Jnl[[#This Row],[BSLv0]]="A",1,-1)*Jnl[[#This Row],[Bal]]</f>
        <v>-77395</v>
      </c>
      <c r="K142" t="str">
        <f>_xlfn.XLOOKUP(Jnl[[#This Row],[Acct]], config_BS[Acct], config_BS[Lv0],,0)</f>
        <v>A</v>
      </c>
      <c r="L142" t="str">
        <f>_xlfn.XLOOKUP(Jnl[[#This Row],[Acct]], config_BS[Acct], config_BS[Lv1],,0)</f>
        <v>Assets</v>
      </c>
      <c r="M142" t="str">
        <f>_xlfn.XLOOKUP(Jnl[[#This Row],[Acct]], config_BS[Acct], config_BS[Lv2],,0)</f>
        <v>Prep-Sub</v>
      </c>
      <c r="N142" t="str">
        <f>_xlfn.XLOOKUP(Jnl[[#This Row],[TrxId]], Trx[Id], Trx[IncNode], ,0)</f>
        <v>Cost</v>
      </c>
      <c r="O142" t="str">
        <f>_xlfn.XLOOKUP(Jnl[[#This Row],[IncNode]], config_IS[Node], config_IS[Type],,0)</f>
        <v>Op</v>
      </c>
      <c r="P142" t="str">
        <f>_xlfn.XLOOKUP(Jnl[[#This Row],[BSLv2]], dict[Key], dict[Name],,0)</f>
        <v>2.预付-订阅</v>
      </c>
      <c r="Q142" t="str">
        <f>_xlfn.XLOOKUP(Jnl[[#This Row],[Acct]], dict[Key], dict[Name],,0)</f>
        <v>订单</v>
      </c>
      <c r="R142" t="str">
        <f>_xlfn.XLOOKUP(Jnl[[#This Row],[Vehicle]],config_vehicle[Id], config_vehicle[Name],,0)</f>
        <v>桑木</v>
      </c>
      <c r="S142" t="str">
        <f>_xlfn.XLOOKUP(Jnl[[#This Row],[Division]],config_div[Id], config_div[Name],,0)</f>
        <v>网店</v>
      </c>
      <c r="T142" t="str">
        <f>IF(Jnl[[#This Row],[TrxDate]]&lt;=stmt_BS_date_end, "In", "Out")</f>
        <v>Out</v>
      </c>
      <c r="U142" t="str">
        <f>IF(Jnl[[#This Row],[TrxDate]]&lt;debug_date_start, "prior", IF(Jnl[[#This Row],[TrxDate]]&gt;debug_date_end, "post", "curr"))</f>
        <v>curr</v>
      </c>
    </row>
    <row r="143" spans="1:21">
      <c r="A143" s="10" t="s">
        <v>293</v>
      </c>
      <c r="B143" s="6">
        <f>_xlfn.XLOOKUP(Jnl[[#This Row],[TrxId]], Trx[Id], Trx[Date],,0)</f>
        <v>46052</v>
      </c>
      <c r="C143" s="6" t="str">
        <f>_xlfn.XLOOKUP(Jnl[[#This Row],[TrxId]], Trx[Id], Trx[Division],,0)</f>
        <v>Online</v>
      </c>
      <c r="D143" s="6" t="str">
        <f>_xlfn.XLOOKUP(Jnl[[#This Row],[TrxId]], Trx[Id], Trx[Action],,0)</f>
        <v>订购</v>
      </c>
      <c r="E143" s="30" t="s">
        <v>87</v>
      </c>
      <c r="F143" s="10" t="s">
        <v>118</v>
      </c>
      <c r="G143" s="10" t="s">
        <v>147</v>
      </c>
      <c r="H143" s="21">
        <v>40993</v>
      </c>
      <c r="I143" s="11" t="b">
        <f>AND(Jnl[[#This Row],[TrxId]]&lt;&gt;"",Jnl[[#This Row],[Acct]]&lt;&gt;"",Jnl[[#This Row],[Item]]&lt;&gt;"",ISNUMBER(Jnl[[#This Row],[Bal]]))</f>
        <v>1</v>
      </c>
      <c r="J143" s="9">
        <f>IF(Jnl[[#This Row],[BSLv0]]="A",1,-1)*Jnl[[#This Row],[Bal]]</f>
        <v>40993</v>
      </c>
      <c r="K143" t="str">
        <f>_xlfn.XLOOKUP(Jnl[[#This Row],[Acct]], config_BS[Acct], config_BS[Lv0],,0)</f>
        <v>A</v>
      </c>
      <c r="L143" t="str">
        <f>_xlfn.XLOOKUP(Jnl[[#This Row],[Acct]], config_BS[Acct], config_BS[Lv1],,0)</f>
        <v>Assets</v>
      </c>
      <c r="M143" t="str">
        <f>_xlfn.XLOOKUP(Jnl[[#This Row],[Acct]], config_BS[Acct], config_BS[Lv2],,0)</f>
        <v>Prep-Sub</v>
      </c>
      <c r="N143" t="str">
        <f>_xlfn.XLOOKUP(Jnl[[#This Row],[TrxId]], Trx[Id], Trx[IncNode], ,0)</f>
        <v>Cost</v>
      </c>
      <c r="O143" t="str">
        <f>_xlfn.XLOOKUP(Jnl[[#This Row],[IncNode]], config_IS[Node], config_IS[Type],,0)</f>
        <v>Op</v>
      </c>
      <c r="P143" t="str">
        <f>_xlfn.XLOOKUP(Jnl[[#This Row],[BSLv2]], dict[Key], dict[Name],,0)</f>
        <v>2.预付-订阅</v>
      </c>
      <c r="Q143" t="str">
        <f>_xlfn.XLOOKUP(Jnl[[#This Row],[Acct]], dict[Key], dict[Name],,0)</f>
        <v>订单</v>
      </c>
      <c r="R143" t="str">
        <f>_xlfn.XLOOKUP(Jnl[[#This Row],[Vehicle]],config_vehicle[Id], config_vehicle[Name],,0)</f>
        <v>桑木</v>
      </c>
      <c r="S143" t="str">
        <f>_xlfn.XLOOKUP(Jnl[[#This Row],[Division]],config_div[Id], config_div[Name],,0)</f>
        <v>网店</v>
      </c>
      <c r="T143" t="str">
        <f>IF(Jnl[[#This Row],[TrxDate]]&lt;=stmt_BS_date_end, "In", "Out")</f>
        <v>Out</v>
      </c>
      <c r="U143" t="str">
        <f>IF(Jnl[[#This Row],[TrxDate]]&lt;debug_date_start, "prior", IF(Jnl[[#This Row],[TrxDate]]&gt;debug_date_end, "post", "curr"))</f>
        <v>curr</v>
      </c>
    </row>
    <row r="144" spans="1:21">
      <c r="A144" s="10" t="s">
        <v>293</v>
      </c>
      <c r="B144" s="6">
        <f>_xlfn.XLOOKUP(Jnl[[#This Row],[TrxId]], Trx[Id], Trx[Date],,0)</f>
        <v>46052</v>
      </c>
      <c r="C144" s="6" t="str">
        <f>_xlfn.XLOOKUP(Jnl[[#This Row],[TrxId]], Trx[Id], Trx[Division],,0)</f>
        <v>Online</v>
      </c>
      <c r="D144" s="6" t="str">
        <f>_xlfn.XLOOKUP(Jnl[[#This Row],[TrxId]], Trx[Id], Trx[Action],,0)</f>
        <v>订购</v>
      </c>
      <c r="E144" s="30" t="s">
        <v>87</v>
      </c>
      <c r="F144" s="10" t="s">
        <v>12</v>
      </c>
      <c r="G144" s="10" t="s">
        <v>92</v>
      </c>
      <c r="H144" s="21">
        <v>-40993</v>
      </c>
      <c r="I144" s="11" t="b">
        <f>AND(Jnl[[#This Row],[TrxId]]&lt;&gt;"",Jnl[[#This Row],[Acct]]&lt;&gt;"",Jnl[[#This Row],[Item]]&lt;&gt;"",ISNUMBER(Jnl[[#This Row],[Bal]]))</f>
        <v>1</v>
      </c>
      <c r="J144" s="9">
        <f>IF(Jnl[[#This Row],[BSLv0]]="A",1,-1)*Jnl[[#This Row],[Bal]]</f>
        <v>-40993</v>
      </c>
      <c r="K144" t="str">
        <f>_xlfn.XLOOKUP(Jnl[[#This Row],[Acct]], config_BS[Acct], config_BS[Lv0],,0)</f>
        <v>A</v>
      </c>
      <c r="L144" t="str">
        <f>_xlfn.XLOOKUP(Jnl[[#This Row],[Acct]], config_BS[Acct], config_BS[Lv1],,0)</f>
        <v>Assets</v>
      </c>
      <c r="M144" t="str">
        <f>_xlfn.XLOOKUP(Jnl[[#This Row],[Acct]], config_BS[Acct], config_BS[Lv2],,0)</f>
        <v>Cash alike</v>
      </c>
      <c r="N144" t="str">
        <f>_xlfn.XLOOKUP(Jnl[[#This Row],[TrxId]], Trx[Id], Trx[IncNode], ,0)</f>
        <v>Cost</v>
      </c>
      <c r="O144" t="str">
        <f>_xlfn.XLOOKUP(Jnl[[#This Row],[IncNode]], config_IS[Node], config_IS[Type],,0)</f>
        <v>Op</v>
      </c>
      <c r="P144" t="str">
        <f>_xlfn.XLOOKUP(Jnl[[#This Row],[BSLv2]], dict[Key], dict[Name],,0)</f>
        <v>0.现金及类似</v>
      </c>
      <c r="Q144" t="str">
        <f>_xlfn.XLOOKUP(Jnl[[#This Row],[Acct]], dict[Key], dict[Name],,0)</f>
        <v>银行</v>
      </c>
      <c r="R144" t="str">
        <f>_xlfn.XLOOKUP(Jnl[[#This Row],[Vehicle]],config_vehicle[Id], config_vehicle[Name],,0)</f>
        <v>桑木</v>
      </c>
      <c r="S144" t="str">
        <f>_xlfn.XLOOKUP(Jnl[[#This Row],[Division]],config_div[Id], config_div[Name],,0)</f>
        <v>网店</v>
      </c>
      <c r="T144" t="str">
        <f>IF(Jnl[[#This Row],[TrxDate]]&lt;=stmt_BS_date_end, "In", "Out")</f>
        <v>Out</v>
      </c>
      <c r="U144" t="str">
        <f>IF(Jnl[[#This Row],[TrxDate]]&lt;debug_date_start, "prior", IF(Jnl[[#This Row],[TrxDate]]&gt;debug_date_end, "post", "curr"))</f>
        <v>curr</v>
      </c>
    </row>
    <row r="145" spans="1:21">
      <c r="A145" s="10" t="s">
        <v>294</v>
      </c>
      <c r="B145" s="6">
        <f>_xlfn.XLOOKUP(Jnl[[#This Row],[TrxId]], Trx[Id], Trx[Date],,0)</f>
        <v>46052</v>
      </c>
      <c r="C145" s="6" t="str">
        <f>_xlfn.XLOOKUP(Jnl[[#This Row],[TrxId]], Trx[Id], Trx[Division],,0)</f>
        <v>Online</v>
      </c>
      <c r="D145" s="6" t="str">
        <f>_xlfn.XLOOKUP(Jnl[[#This Row],[TrxId]], Trx[Id], Trx[Action],,0)</f>
        <v>入库</v>
      </c>
      <c r="E145" s="30" t="s">
        <v>87</v>
      </c>
      <c r="F145" s="10" t="s">
        <v>119</v>
      </c>
      <c r="G145" s="10" t="s">
        <v>154</v>
      </c>
      <c r="H145" s="21">
        <v>40993</v>
      </c>
      <c r="I145" s="11" t="b">
        <f>AND(Jnl[[#This Row],[TrxId]]&lt;&gt;"",Jnl[[#This Row],[Acct]]&lt;&gt;"",Jnl[[#This Row],[Item]]&lt;&gt;"",ISNUMBER(Jnl[[#This Row],[Bal]]))</f>
        <v>1</v>
      </c>
      <c r="J145" s="9">
        <f>IF(Jnl[[#This Row],[BSLv0]]="A",1,-1)*Jnl[[#This Row],[Bal]]</f>
        <v>40993</v>
      </c>
      <c r="K145" t="str">
        <f>_xlfn.XLOOKUP(Jnl[[#This Row],[Acct]], config_BS[Acct], config_BS[Lv0],,0)</f>
        <v>A</v>
      </c>
      <c r="L145" t="str">
        <f>_xlfn.XLOOKUP(Jnl[[#This Row],[Acct]], config_BS[Acct], config_BS[Lv1],,0)</f>
        <v>Assets</v>
      </c>
      <c r="M145" t="str">
        <f>_xlfn.XLOOKUP(Jnl[[#This Row],[Acct]], config_BS[Acct], config_BS[Lv2],,0)</f>
        <v>Invtr</v>
      </c>
      <c r="N145" t="str">
        <f>_xlfn.XLOOKUP(Jnl[[#This Row],[TrxId]], Trx[Id], Trx[IncNode], ,0)</f>
        <v>Cost</v>
      </c>
      <c r="O145" t="str">
        <f>_xlfn.XLOOKUP(Jnl[[#This Row],[IncNode]], config_IS[Node], config_IS[Type],,0)</f>
        <v>Op</v>
      </c>
      <c r="P145" t="str">
        <f>_xlfn.XLOOKUP(Jnl[[#This Row],[BSLv2]], dict[Key], dict[Name],,0)</f>
        <v>3.库存占款</v>
      </c>
      <c r="Q145" t="str">
        <f>_xlfn.XLOOKUP(Jnl[[#This Row],[Acct]], dict[Key], dict[Name],,0)</f>
        <v>当期存货</v>
      </c>
      <c r="R145" t="str">
        <f>_xlfn.XLOOKUP(Jnl[[#This Row],[Vehicle]],config_vehicle[Id], config_vehicle[Name],,0)</f>
        <v>桑木</v>
      </c>
      <c r="S145" t="str">
        <f>_xlfn.XLOOKUP(Jnl[[#This Row],[Division]],config_div[Id], config_div[Name],,0)</f>
        <v>网店</v>
      </c>
      <c r="T145" t="str">
        <f>IF(Jnl[[#This Row],[TrxDate]]&lt;=stmt_BS_date_end, "In", "Out")</f>
        <v>Out</v>
      </c>
      <c r="U145" t="str">
        <f>IF(Jnl[[#This Row],[TrxDate]]&lt;debug_date_start, "prior", IF(Jnl[[#This Row],[TrxDate]]&gt;debug_date_end, "post", "curr"))</f>
        <v>curr</v>
      </c>
    </row>
    <row r="146" spans="1:21">
      <c r="A146" s="10" t="s">
        <v>294</v>
      </c>
      <c r="B146" s="6">
        <f>_xlfn.XLOOKUP(Jnl[[#This Row],[TrxId]], Trx[Id], Trx[Date],,0)</f>
        <v>46052</v>
      </c>
      <c r="C146" s="6" t="str">
        <f>_xlfn.XLOOKUP(Jnl[[#This Row],[TrxId]], Trx[Id], Trx[Division],,0)</f>
        <v>Online</v>
      </c>
      <c r="D146" s="6" t="str">
        <f>_xlfn.XLOOKUP(Jnl[[#This Row],[TrxId]], Trx[Id], Trx[Action],,0)</f>
        <v>入库</v>
      </c>
      <c r="E146" s="30" t="s">
        <v>87</v>
      </c>
      <c r="F146" s="10" t="s">
        <v>118</v>
      </c>
      <c r="G146" s="10" t="s">
        <v>147</v>
      </c>
      <c r="H146" s="21">
        <v>-40993</v>
      </c>
      <c r="I146" s="11" t="b">
        <f>AND(Jnl[[#This Row],[TrxId]]&lt;&gt;"",Jnl[[#This Row],[Acct]]&lt;&gt;"",Jnl[[#This Row],[Item]]&lt;&gt;"",ISNUMBER(Jnl[[#This Row],[Bal]]))</f>
        <v>1</v>
      </c>
      <c r="J146" s="9">
        <f>IF(Jnl[[#This Row],[BSLv0]]="A",1,-1)*Jnl[[#This Row],[Bal]]</f>
        <v>-40993</v>
      </c>
      <c r="K146" t="str">
        <f>_xlfn.XLOOKUP(Jnl[[#This Row],[Acct]], config_BS[Acct], config_BS[Lv0],,0)</f>
        <v>A</v>
      </c>
      <c r="L146" t="str">
        <f>_xlfn.XLOOKUP(Jnl[[#This Row],[Acct]], config_BS[Acct], config_BS[Lv1],,0)</f>
        <v>Assets</v>
      </c>
      <c r="M146" t="str">
        <f>_xlfn.XLOOKUP(Jnl[[#This Row],[Acct]], config_BS[Acct], config_BS[Lv2],,0)</f>
        <v>Prep-Sub</v>
      </c>
      <c r="N146" t="str">
        <f>_xlfn.XLOOKUP(Jnl[[#This Row],[TrxId]], Trx[Id], Trx[IncNode], ,0)</f>
        <v>Cost</v>
      </c>
      <c r="O146" t="str">
        <f>_xlfn.XLOOKUP(Jnl[[#This Row],[IncNode]], config_IS[Node], config_IS[Type],,0)</f>
        <v>Op</v>
      </c>
      <c r="P146" t="str">
        <f>_xlfn.XLOOKUP(Jnl[[#This Row],[BSLv2]], dict[Key], dict[Name],,0)</f>
        <v>2.预付-订阅</v>
      </c>
      <c r="Q146" t="str">
        <f>_xlfn.XLOOKUP(Jnl[[#This Row],[Acct]], dict[Key], dict[Name],,0)</f>
        <v>订单</v>
      </c>
      <c r="R146" t="str">
        <f>_xlfn.XLOOKUP(Jnl[[#This Row],[Vehicle]],config_vehicle[Id], config_vehicle[Name],,0)</f>
        <v>桑木</v>
      </c>
      <c r="S146" t="str">
        <f>_xlfn.XLOOKUP(Jnl[[#This Row],[Division]],config_div[Id], config_div[Name],,0)</f>
        <v>网店</v>
      </c>
      <c r="T146" t="str">
        <f>IF(Jnl[[#This Row],[TrxDate]]&lt;=stmt_BS_date_end, "In", "Out")</f>
        <v>Out</v>
      </c>
      <c r="U146" t="str">
        <f>IF(Jnl[[#This Row],[TrxDate]]&lt;debug_date_start, "prior", IF(Jnl[[#This Row],[TrxDate]]&gt;debug_date_end, "post", "curr"))</f>
        <v>curr</v>
      </c>
    </row>
  </sheetData>
  <phoneticPr fontId="5" type="noConversion"/>
  <dataValidations count="2">
    <dataValidation type="list" allowBlank="1" showInputMessage="1" showErrorMessage="1" sqref="F2:F146" xr:uid="{27180EBA-4775-47D1-B40D-F072FAF2E681}">
      <formula1>INDIRECT("config_BS[Acct]")</formula1>
    </dataValidation>
    <dataValidation type="list" allowBlank="1" showInputMessage="1" showErrorMessage="1" sqref="E2:E146" xr:uid="{8960B149-D376-4904-8B46-36BCE9B84524}">
      <formula1>INDIRECT("config_vehicle[Id]")</formula1>
    </dataValidation>
  </dataValidations>
  <pageMargins left="0.7" right="0.7"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A8AFF-CB18-4FAA-AE90-4DB8B4C138F0}">
  <sheetPr>
    <tabColor theme="9" tint="0.79998168889431442"/>
  </sheetPr>
  <dimension ref="A1:P16"/>
  <sheetViews>
    <sheetView tabSelected="1" zoomScaleNormal="100" workbookViewId="0">
      <selection activeCell="M29" sqref="M29"/>
    </sheetView>
  </sheetViews>
  <sheetFormatPr defaultRowHeight="15"/>
  <cols>
    <col min="1" max="1" width="16.5703125" customWidth="1"/>
    <col min="2" max="2" width="14.7109375" bestFit="1" customWidth="1"/>
    <col min="3" max="3" width="12.85546875" customWidth="1"/>
    <col min="4" max="4" width="16.42578125" customWidth="1"/>
    <col min="5" max="5" width="12.85546875" customWidth="1"/>
    <col min="6" max="6" width="18.140625" bestFit="1" customWidth="1"/>
    <col min="7" max="8" width="12.7109375" customWidth="1"/>
    <col min="9" max="9" width="11.5703125" bestFit="1" customWidth="1"/>
    <col min="10" max="10" width="13.140625" customWidth="1"/>
    <col min="11" max="11" width="12" bestFit="1" customWidth="1"/>
    <col min="12" max="12" width="15.42578125" bestFit="1" customWidth="1"/>
    <col min="13" max="16" width="13.28515625" customWidth="1"/>
  </cols>
  <sheetData>
    <row r="1" spans="1:16">
      <c r="A1" s="1" t="s">
        <v>227</v>
      </c>
      <c r="B1" s="1"/>
      <c r="C1" s="1"/>
      <c r="D1" s="1"/>
      <c r="F1" s="13" t="s">
        <v>113</v>
      </c>
      <c r="G1" s="13" t="s">
        <v>158</v>
      </c>
      <c r="H1" s="5"/>
      <c r="I1" s="5"/>
      <c r="L1" s="12" t="s">
        <v>306</v>
      </c>
      <c r="M1" t="s">
        <v>241</v>
      </c>
    </row>
    <row r="2" spans="1:16">
      <c r="A2" s="24" t="s">
        <v>38</v>
      </c>
      <c r="F2" s="13" t="s">
        <v>159</v>
      </c>
      <c r="G2" s="17" t="s">
        <v>231</v>
      </c>
      <c r="H2" s="17" t="s">
        <v>307</v>
      </c>
      <c r="I2" s="17" t="s">
        <v>305</v>
      </c>
    </row>
    <row r="3" spans="1:16">
      <c r="A3" s="5" t="s">
        <v>119</v>
      </c>
      <c r="B3" s="28">
        <f>MAX(Jnl[TrxDate])</f>
        <v>46052</v>
      </c>
      <c r="F3" s="14" t="s">
        <v>71</v>
      </c>
      <c r="G3" s="8">
        <v>99417.5</v>
      </c>
      <c r="H3" s="8">
        <v>32270.5</v>
      </c>
      <c r="I3" s="8">
        <v>131688</v>
      </c>
      <c r="L3" s="13" t="s">
        <v>309</v>
      </c>
      <c r="M3" s="13" t="s">
        <v>158</v>
      </c>
      <c r="N3" s="5"/>
      <c r="O3" s="5"/>
      <c r="P3" s="5"/>
    </row>
    <row r="4" spans="1:16">
      <c r="A4" s="5" t="s">
        <v>304</v>
      </c>
      <c r="B4" s="28">
        <f>IF(C4&lt;&gt;"",C4, EOMONTH(B4,-1)+1)</f>
        <v>46023</v>
      </c>
      <c r="C4" s="30">
        <v>46023</v>
      </c>
      <c r="F4" s="15" t="s">
        <v>167</v>
      </c>
      <c r="G4" s="8">
        <v>99417.5</v>
      </c>
      <c r="H4" s="8">
        <v>32270.5</v>
      </c>
      <c r="I4" s="8">
        <v>131688</v>
      </c>
      <c r="L4" s="13" t="s">
        <v>159</v>
      </c>
      <c r="M4" s="17" t="s">
        <v>312</v>
      </c>
      <c r="N4" s="17" t="s">
        <v>311</v>
      </c>
      <c r="O4" s="17" t="s">
        <v>36</v>
      </c>
      <c r="P4" s="17" t="s">
        <v>160</v>
      </c>
    </row>
    <row r="5" spans="1:16">
      <c r="A5" s="5" t="s">
        <v>305</v>
      </c>
      <c r="B5" s="28">
        <f>IF(C5&lt;&gt;"",C5,EOMONTH(B4,0))</f>
        <v>46053</v>
      </c>
      <c r="C5" s="30"/>
      <c r="F5" s="18" t="s">
        <v>147</v>
      </c>
      <c r="G5" s="8">
        <v>99417.5</v>
      </c>
      <c r="H5" s="8">
        <v>32270.5</v>
      </c>
      <c r="I5" s="8">
        <v>131688</v>
      </c>
      <c r="L5" s="14" t="s">
        <v>26</v>
      </c>
      <c r="M5" s="9">
        <v>18390.900000000001</v>
      </c>
      <c r="N5" s="9">
        <v>3.9999999993597157E-2</v>
      </c>
      <c r="O5" s="9">
        <v>-6772.3799999999992</v>
      </c>
      <c r="P5" s="9">
        <v>11618.559999999998</v>
      </c>
    </row>
    <row r="6" spans="1:16">
      <c r="F6" s="40" t="s">
        <v>298</v>
      </c>
      <c r="G6" s="8"/>
      <c r="H6" s="8">
        <v>-301943.2</v>
      </c>
      <c r="I6" s="8">
        <v>-301943.2</v>
      </c>
      <c r="L6" s="15" t="s">
        <v>22</v>
      </c>
      <c r="M6" s="9">
        <v>18390.900000000001</v>
      </c>
      <c r="N6" s="9"/>
      <c r="O6" s="9"/>
      <c r="P6" s="9">
        <v>18390.900000000001</v>
      </c>
    </row>
    <row r="7" spans="1:16">
      <c r="F7" s="40" t="s">
        <v>302</v>
      </c>
      <c r="G7" s="8"/>
      <c r="H7" s="8">
        <v>334213.7</v>
      </c>
      <c r="I7" s="8">
        <v>334213.7</v>
      </c>
      <c r="L7" s="18" t="s">
        <v>255</v>
      </c>
      <c r="M7" s="9">
        <v>22791.5</v>
      </c>
      <c r="N7" s="9"/>
      <c r="O7" s="9"/>
      <c r="P7" s="9">
        <v>22791.5</v>
      </c>
    </row>
    <row r="8" spans="1:16">
      <c r="A8" s="2" t="s">
        <v>308</v>
      </c>
      <c r="F8" s="40" t="s">
        <v>261</v>
      </c>
      <c r="G8" s="8">
        <v>99417.5</v>
      </c>
      <c r="H8" s="8"/>
      <c r="I8" s="8">
        <v>99417.5</v>
      </c>
      <c r="L8" s="18" t="s">
        <v>314</v>
      </c>
      <c r="M8" s="9">
        <v>-4400.6000000000004</v>
      </c>
      <c r="N8" s="9"/>
      <c r="O8" s="9"/>
      <c r="P8" s="9">
        <v>-4400.6000000000004</v>
      </c>
    </row>
    <row r="9" spans="1:16">
      <c r="F9" s="14" t="s">
        <v>305</v>
      </c>
      <c r="G9" s="8">
        <v>99417.5</v>
      </c>
      <c r="H9" s="8">
        <v>32270.5</v>
      </c>
      <c r="I9" s="8">
        <v>131688</v>
      </c>
      <c r="L9" s="15" t="s">
        <v>24</v>
      </c>
      <c r="M9" s="9"/>
      <c r="N9" s="9">
        <v>3.9999999993597157E-2</v>
      </c>
      <c r="O9" s="9">
        <v>-6772.3799999999992</v>
      </c>
      <c r="P9" s="9">
        <v>-6772.3400000000056</v>
      </c>
    </row>
    <row r="10" spans="1:16">
      <c r="L10" s="18" t="s">
        <v>252</v>
      </c>
      <c r="M10" s="9"/>
      <c r="N10" s="9"/>
      <c r="O10" s="9">
        <v>-3290.1</v>
      </c>
      <c r="P10" s="9">
        <v>-3290.1</v>
      </c>
    </row>
    <row r="11" spans="1:16">
      <c r="L11" s="18" t="s">
        <v>303</v>
      </c>
      <c r="M11" s="9"/>
      <c r="N11" s="9">
        <v>3.9999999993597157E-2</v>
      </c>
      <c r="O11" s="9"/>
      <c r="P11" s="9">
        <v>3.9999999993597157E-2</v>
      </c>
    </row>
    <row r="12" spans="1:16">
      <c r="L12" s="18" t="s">
        <v>321</v>
      </c>
      <c r="M12" s="9"/>
      <c r="N12" s="9"/>
      <c r="O12" s="9">
        <v>-3482.2799999999997</v>
      </c>
      <c r="P12" s="9">
        <v>-3482.2799999999997</v>
      </c>
    </row>
    <row r="13" spans="1:16">
      <c r="L13" s="14" t="s">
        <v>27</v>
      </c>
      <c r="M13" s="9"/>
      <c r="N13" s="9">
        <v>-381800</v>
      </c>
      <c r="O13" s="9"/>
      <c r="P13" s="9">
        <v>-381800</v>
      </c>
    </row>
    <row r="14" spans="1:16">
      <c r="L14" s="15" t="s">
        <v>25</v>
      </c>
      <c r="M14" s="9"/>
      <c r="N14" s="9">
        <v>-381800</v>
      </c>
      <c r="O14" s="9"/>
      <c r="P14" s="9">
        <v>-381800</v>
      </c>
    </row>
    <row r="15" spans="1:16">
      <c r="L15" s="18" t="s">
        <v>254</v>
      </c>
      <c r="M15" s="9"/>
      <c r="N15" s="9">
        <v>-381800</v>
      </c>
      <c r="O15" s="9"/>
      <c r="P15" s="9">
        <v>-381800</v>
      </c>
    </row>
    <row r="16" spans="1:16">
      <c r="L16" s="14" t="s">
        <v>160</v>
      </c>
      <c r="M16" s="9">
        <v>18390.900000000001</v>
      </c>
      <c r="N16" s="9">
        <v>-381799.96</v>
      </c>
      <c r="O16" s="9">
        <v>-6772.3799999999992</v>
      </c>
      <c r="P16" s="9">
        <v>-370181.44</v>
      </c>
    </row>
  </sheetData>
  <phoneticPr fontId="5" type="noConversion"/>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A1EA-C188-40A8-B534-CB4C298497DB}">
  <sheetPr>
    <tabColor theme="9" tint="0.39997558519241921"/>
  </sheetPr>
  <dimension ref="A1:M33"/>
  <sheetViews>
    <sheetView zoomScaleNormal="100" workbookViewId="0">
      <selection activeCell="D36" sqref="D36"/>
    </sheetView>
  </sheetViews>
  <sheetFormatPr defaultRowHeight="15"/>
  <cols>
    <col min="1" max="1" width="15.85546875" customWidth="1"/>
    <col min="2" max="2" width="13.28515625" customWidth="1"/>
    <col min="3" max="3" width="12.28515625" customWidth="1"/>
    <col min="4" max="4" width="13.28515625" customWidth="1"/>
    <col min="5" max="5" width="17" customWidth="1"/>
    <col min="6" max="6" width="18.7109375" bestFit="1" customWidth="1"/>
    <col min="7" max="7" width="23.140625" customWidth="1"/>
    <col min="8" max="8" width="12.42578125" bestFit="1" customWidth="1"/>
    <col min="9" max="9" width="21.85546875" customWidth="1"/>
    <col min="10" max="10" width="15.42578125" bestFit="1" customWidth="1"/>
    <col min="11" max="11" width="11.7109375" customWidth="1"/>
    <col min="12" max="12" width="13.5703125" bestFit="1" customWidth="1"/>
    <col min="13" max="13" width="11.7109375" customWidth="1"/>
  </cols>
  <sheetData>
    <row r="1" spans="1:13">
      <c r="A1" s="1" t="s">
        <v>227</v>
      </c>
      <c r="B1" s="1"/>
      <c r="C1" s="1"/>
      <c r="E1" s="1" t="s">
        <v>229</v>
      </c>
      <c r="F1" s="1"/>
      <c r="G1" s="1"/>
      <c r="I1" s="12" t="s">
        <v>239</v>
      </c>
      <c r="J1" t="s">
        <v>248</v>
      </c>
    </row>
    <row r="2" spans="1:13">
      <c r="A2" t="s">
        <v>213</v>
      </c>
      <c r="B2" s="9">
        <f>SUMIFS(Jnl[NetBal], Jnl[TrxDate], "&lt;"&amp;const_date_start)</f>
        <v>-7.4505805969238281E-9</v>
      </c>
      <c r="E2" s="24" t="s">
        <v>236</v>
      </c>
    </row>
    <row r="3" spans="1:13">
      <c r="A3" s="29" t="s">
        <v>214</v>
      </c>
      <c r="E3" s="27" t="s">
        <v>220</v>
      </c>
      <c r="F3" s="25">
        <v>58333810.554496594</v>
      </c>
      <c r="I3" s="5"/>
      <c r="J3" s="13" t="s">
        <v>158</v>
      </c>
      <c r="K3" s="5"/>
      <c r="L3" s="5"/>
      <c r="M3" s="5"/>
    </row>
    <row r="4" spans="1:13">
      <c r="A4" t="s">
        <v>240</v>
      </c>
      <c r="B4" s="28">
        <f>IF(C4&lt;&gt;"",C4, const_date_prior)</f>
        <v>46022</v>
      </c>
      <c r="C4" s="30"/>
      <c r="I4" s="5"/>
      <c r="J4" s="38" t="s">
        <v>120</v>
      </c>
      <c r="K4" s="39"/>
      <c r="L4" s="38" t="s">
        <v>127</v>
      </c>
      <c r="M4" s="39"/>
    </row>
    <row r="5" spans="1:13">
      <c r="A5" s="2" t="s">
        <v>232</v>
      </c>
      <c r="E5" s="27" t="s">
        <v>319</v>
      </c>
      <c r="F5" s="25">
        <v>13209505.352789778</v>
      </c>
      <c r="I5" s="13" t="s">
        <v>159</v>
      </c>
      <c r="J5" s="17" t="s">
        <v>113</v>
      </c>
      <c r="K5" s="17" t="s">
        <v>163</v>
      </c>
      <c r="L5" s="17" t="s">
        <v>113</v>
      </c>
      <c r="M5" s="17" t="s">
        <v>163</v>
      </c>
    </row>
    <row r="6" spans="1:13">
      <c r="E6" s="32" t="s">
        <v>320</v>
      </c>
      <c r="F6" s="33">
        <f>F5/F3</f>
        <v>0.22644681064421804</v>
      </c>
      <c r="G6" s="5"/>
      <c r="I6" s="14" t="s">
        <v>238</v>
      </c>
      <c r="J6" s="9">
        <v>10454343.130000001</v>
      </c>
      <c r="K6" s="16">
        <v>0.23473063833862232</v>
      </c>
      <c r="L6" s="9">
        <v>439975.23000000004</v>
      </c>
      <c r="M6" s="16">
        <v>9.8787332027318007E-3</v>
      </c>
    </row>
    <row r="7" spans="1:13">
      <c r="E7" s="27" t="s">
        <v>215</v>
      </c>
      <c r="F7" s="26">
        <f>SUMIFS(Jnl[Bal], Jnl[BSLv2], "Cap")</f>
        <v>39438236</v>
      </c>
      <c r="I7" s="15" t="s">
        <v>165</v>
      </c>
      <c r="J7" s="9">
        <v>10404686.98</v>
      </c>
      <c r="K7" s="16">
        <v>0.23361571226034095</v>
      </c>
      <c r="L7" s="9"/>
      <c r="M7" s="16">
        <v>0</v>
      </c>
    </row>
    <row r="8" spans="1:13">
      <c r="E8" s="32" t="s">
        <v>228</v>
      </c>
      <c r="F8" s="33">
        <f>F5/F7</f>
        <v>0.33494158696118603</v>
      </c>
      <c r="I8" s="15" t="s">
        <v>166</v>
      </c>
      <c r="J8" s="9">
        <v>49656.15</v>
      </c>
      <c r="K8" s="16">
        <v>1.1149260782813411E-3</v>
      </c>
      <c r="L8" s="9"/>
      <c r="M8" s="16">
        <v>0</v>
      </c>
    </row>
    <row r="9" spans="1:13">
      <c r="I9" s="15" t="s">
        <v>205</v>
      </c>
      <c r="J9" s="9"/>
      <c r="K9" s="16">
        <v>0</v>
      </c>
      <c r="L9" s="9">
        <v>439975.23000000004</v>
      </c>
      <c r="M9" s="16">
        <v>9.8787332027318007E-3</v>
      </c>
    </row>
    <row r="10" spans="1:13">
      <c r="I10" s="14" t="s">
        <v>182</v>
      </c>
      <c r="J10" s="9">
        <v>799636.8899999999</v>
      </c>
      <c r="K10" s="16">
        <v>1.7954191410666915E-2</v>
      </c>
      <c r="L10" s="9">
        <v>1619698.1600000001</v>
      </c>
      <c r="M10" s="16">
        <v>3.6366970003278605E-2</v>
      </c>
    </row>
    <row r="11" spans="1:13">
      <c r="E11" s="24" t="s">
        <v>235</v>
      </c>
      <c r="G11" s="2"/>
      <c r="I11" s="15" t="s">
        <v>192</v>
      </c>
      <c r="J11" s="9"/>
      <c r="K11" s="16">
        <v>0</v>
      </c>
      <c r="L11" s="9">
        <v>32443.1</v>
      </c>
      <c r="M11" s="16">
        <v>7.2844266521446678E-4</v>
      </c>
    </row>
    <row r="12" spans="1:13">
      <c r="E12" s="27" t="s">
        <v>234</v>
      </c>
      <c r="F12" s="26">
        <f>SUMIFS(Jnl[NetBal], Jnl[ScopeBS], "In", Jnl[BSLv2], "Cash alike")</f>
        <v>10014367.899999999</v>
      </c>
      <c r="I12" s="15" t="s">
        <v>174</v>
      </c>
      <c r="J12" s="9"/>
      <c r="K12" s="16">
        <v>0</v>
      </c>
      <c r="L12" s="9">
        <v>922996.67</v>
      </c>
      <c r="M12" s="16">
        <v>2.0723979961189829E-2</v>
      </c>
    </row>
    <row r="13" spans="1:13">
      <c r="E13" s="27" t="s">
        <v>242</v>
      </c>
      <c r="F13" s="26">
        <f>SUMIFS(Jnl[Bal], Jnl[ScopeBS], "In", Jnl[BSLv2], "Rec-Pay", Jnl[BSLv0], "LC")</f>
        <v>1619698.1600000004</v>
      </c>
      <c r="I13" s="15" t="s">
        <v>173</v>
      </c>
      <c r="J13" s="9"/>
      <c r="K13" s="16">
        <v>0</v>
      </c>
      <c r="L13" s="9">
        <v>656060.89</v>
      </c>
      <c r="M13" s="16">
        <v>1.4730489480184544E-2</v>
      </c>
    </row>
    <row r="14" spans="1:13">
      <c r="E14" s="32" t="s">
        <v>247</v>
      </c>
      <c r="F14" s="34">
        <f>F12/F13</f>
        <v>6.1828605769361351</v>
      </c>
      <c r="G14" s="2" t="s">
        <v>244</v>
      </c>
      <c r="I14" s="15" t="s">
        <v>175</v>
      </c>
      <c r="J14" s="9"/>
      <c r="K14" s="16">
        <v>0</v>
      </c>
      <c r="L14" s="9">
        <v>8197.5</v>
      </c>
      <c r="M14" s="16">
        <v>1.8405789668976121E-4</v>
      </c>
    </row>
    <row r="15" spans="1:13">
      <c r="I15" s="15" t="s">
        <v>191</v>
      </c>
      <c r="J15" s="9">
        <v>740667.6399999999</v>
      </c>
      <c r="K15" s="16">
        <v>1.6630158946577534E-2</v>
      </c>
      <c r="L15" s="9"/>
      <c r="M15" s="16">
        <v>0</v>
      </c>
    </row>
    <row r="16" spans="1:13">
      <c r="E16" s="27" t="s">
        <v>243</v>
      </c>
      <c r="F16" s="26">
        <f>SUMIFS(Jnl[Bal], Jnl[ScopeBS], "In", Jnl[Acct], "Curr")</f>
        <v>6361319.6000000006</v>
      </c>
      <c r="I16" s="15" t="s">
        <v>209</v>
      </c>
      <c r="J16" s="9">
        <v>58969.249999999993</v>
      </c>
      <c r="K16" s="16">
        <v>1.3240324640893819E-3</v>
      </c>
      <c r="L16" s="9"/>
      <c r="M16" s="16">
        <v>0</v>
      </c>
    </row>
    <row r="17" spans="5:13">
      <c r="E17" s="35" t="s">
        <v>246</v>
      </c>
      <c r="F17" s="34">
        <f>(F12-F13)/F16</f>
        <v>1.3196428206499793</v>
      </c>
      <c r="G17" s="2" t="s">
        <v>245</v>
      </c>
      <c r="I17" s="14" t="s">
        <v>183</v>
      </c>
      <c r="J17" s="9">
        <v>558087.52</v>
      </c>
      <c r="K17" s="16">
        <v>1.2530700225679184E-2</v>
      </c>
      <c r="L17" s="9"/>
      <c r="M17" s="16">
        <v>0</v>
      </c>
    </row>
    <row r="18" spans="5:13">
      <c r="I18" s="15" t="s">
        <v>167</v>
      </c>
      <c r="J18" s="9">
        <v>318808.92</v>
      </c>
      <c r="K18" s="16">
        <v>7.1581944813826634E-3</v>
      </c>
      <c r="L18" s="9"/>
      <c r="M18" s="16">
        <v>0</v>
      </c>
    </row>
    <row r="19" spans="5:13">
      <c r="I19" s="15" t="s">
        <v>200</v>
      </c>
      <c r="J19" s="9">
        <v>30000</v>
      </c>
      <c r="K19" s="16">
        <v>6.7358791103297835E-4</v>
      </c>
      <c r="L19" s="9"/>
      <c r="M19" s="16">
        <v>0</v>
      </c>
    </row>
    <row r="20" spans="5:13">
      <c r="I20" s="15" t="s">
        <v>202</v>
      </c>
      <c r="J20" s="9">
        <v>209278.6</v>
      </c>
      <c r="K20" s="16">
        <v>4.6989178332635427E-3</v>
      </c>
      <c r="L20" s="9"/>
      <c r="M20" s="16">
        <v>0</v>
      </c>
    </row>
    <row r="21" spans="5:13">
      <c r="I21" s="14" t="s">
        <v>184</v>
      </c>
      <c r="J21" s="9">
        <v>6361319.5999999987</v>
      </c>
      <c r="K21" s="16">
        <v>0.14283026602590468</v>
      </c>
      <c r="L21" s="9"/>
      <c r="M21" s="16">
        <v>0</v>
      </c>
    </row>
    <row r="22" spans="5:13">
      <c r="I22" s="15" t="s">
        <v>168</v>
      </c>
      <c r="J22" s="9">
        <v>6361319.5999999996</v>
      </c>
      <c r="K22" s="16">
        <v>0.14283026602590471</v>
      </c>
      <c r="L22" s="9"/>
      <c r="M22" s="16">
        <v>0</v>
      </c>
    </row>
    <row r="23" spans="5:13">
      <c r="I23" s="15" t="s">
        <v>221</v>
      </c>
      <c r="J23" s="9">
        <v>0</v>
      </c>
      <c r="K23" s="16">
        <v>0</v>
      </c>
      <c r="L23" s="9"/>
      <c r="M23" s="16">
        <v>0</v>
      </c>
    </row>
    <row r="24" spans="5:13">
      <c r="I24" s="14" t="s">
        <v>185</v>
      </c>
      <c r="J24" s="9">
        <v>24264229.27</v>
      </c>
      <c r="K24" s="16">
        <v>0.5448030502268183</v>
      </c>
      <c r="L24" s="9"/>
      <c r="M24" s="16">
        <v>0</v>
      </c>
    </row>
    <row r="25" spans="5:13">
      <c r="I25" s="15" t="s">
        <v>170</v>
      </c>
      <c r="J25" s="9">
        <v>24264229.27</v>
      </c>
      <c r="K25" s="16">
        <v>0.5448030502268183</v>
      </c>
      <c r="L25" s="9"/>
      <c r="M25" s="16">
        <v>0</v>
      </c>
    </row>
    <row r="26" spans="5:13">
      <c r="I26" s="14" t="s">
        <v>186</v>
      </c>
      <c r="J26" s="9">
        <v>2100000</v>
      </c>
      <c r="K26" s="16">
        <v>4.7151153772308482E-2</v>
      </c>
      <c r="L26" s="9"/>
      <c r="M26" s="16">
        <v>0</v>
      </c>
    </row>
    <row r="27" spans="5:13">
      <c r="I27" s="15" t="s">
        <v>171</v>
      </c>
      <c r="J27" s="9">
        <v>2100000</v>
      </c>
      <c r="K27" s="16">
        <v>4.7151153772308482E-2</v>
      </c>
      <c r="L27" s="9"/>
      <c r="M27" s="16">
        <v>0</v>
      </c>
    </row>
    <row r="28" spans="5:13">
      <c r="I28" s="14" t="s">
        <v>222</v>
      </c>
      <c r="J28" s="9"/>
      <c r="K28" s="16">
        <v>0</v>
      </c>
      <c r="L28" s="9">
        <v>3039707.0200000321</v>
      </c>
      <c r="M28" s="16">
        <v>6.8250330058470005E-2</v>
      </c>
    </row>
    <row r="29" spans="5:13">
      <c r="I29" s="15" t="s">
        <v>176</v>
      </c>
      <c r="J29" s="9"/>
      <c r="K29" s="16">
        <v>0</v>
      </c>
      <c r="L29" s="9">
        <v>3039707.0200000321</v>
      </c>
      <c r="M29" s="16">
        <v>6.8250330058470005E-2</v>
      </c>
    </row>
    <row r="30" spans="5:13">
      <c r="I30" s="14" t="s">
        <v>187</v>
      </c>
      <c r="J30" s="9"/>
      <c r="K30" s="16">
        <v>0</v>
      </c>
      <c r="L30" s="9">
        <v>39438236</v>
      </c>
      <c r="M30" s="16">
        <v>0.88550396673551957</v>
      </c>
    </row>
    <row r="31" spans="5:13">
      <c r="I31" s="15" t="s">
        <v>178</v>
      </c>
      <c r="J31" s="9"/>
      <c r="K31" s="16">
        <v>0</v>
      </c>
      <c r="L31" s="9">
        <v>14402045</v>
      </c>
      <c r="M31" s="16">
        <v>0.32336811353843148</v>
      </c>
    </row>
    <row r="32" spans="5:13">
      <c r="I32" s="15" t="s">
        <v>177</v>
      </c>
      <c r="J32" s="9"/>
      <c r="K32" s="16">
        <v>0</v>
      </c>
      <c r="L32" s="9">
        <v>25036191</v>
      </c>
      <c r="M32" s="16">
        <v>0.56213585319708803</v>
      </c>
    </row>
    <row r="33" spans="9:13">
      <c r="I33" s="14" t="s">
        <v>160</v>
      </c>
      <c r="J33" s="9">
        <v>44537616.410000004</v>
      </c>
      <c r="K33" s="16">
        <v>1</v>
      </c>
      <c r="L33" s="9">
        <v>44537616.410000034</v>
      </c>
      <c r="M33" s="16">
        <v>1</v>
      </c>
    </row>
  </sheetData>
  <mergeCells count="2">
    <mergeCell ref="J4:K4"/>
    <mergeCell ref="L4:M4"/>
  </mergeCells>
  <phoneticPr fontId="5" type="noConversion"/>
  <conditionalFormatting pivot="1" sqref="K6:K33 M6:M33">
    <cfRule type="dataBar" priority="1">
      <dataBar>
        <cfvo type="min"/>
        <cfvo type="max"/>
        <color rgb="FF638EC6"/>
      </dataBar>
      <extLst>
        <ext xmlns:x14="http://schemas.microsoft.com/office/spreadsheetml/2009/9/main" uri="{B025F937-C7B1-47D3-B67F-A62EFF666E3E}">
          <x14:id>{D82CD119-6F50-430B-932B-180680CFB548}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82CD119-6F50-430B-932B-180680CFB548}">
            <x14:dataBar minLength="0" maxLength="100" border="1" negativeBarBorderColorSameAsPositive="0">
              <x14:cfvo type="autoMin"/>
              <x14:cfvo type="autoMax"/>
              <x14:borderColor rgb="FF638EC6"/>
              <x14:negativeFillColor rgb="FFFF0000"/>
              <x14:negativeBorderColor rgb="FFFF0000"/>
              <x14:axisColor rgb="FF000000"/>
            </x14:dataBar>
          </x14:cfRule>
          <xm:sqref>K6:K33 M6:M33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819FF-4DF1-4629-B15C-CE7A9DD8DFE4}">
  <sheetPr>
    <tabColor theme="9" tint="0.39997558519241921"/>
  </sheetPr>
  <dimension ref="A1"/>
  <sheetViews>
    <sheetView zoomScale="145" zoomScaleNormal="145" workbookViewId="0"/>
  </sheetViews>
  <sheetFormatPr defaultRowHeight="15"/>
  <sheetData>
    <row r="1" spans="1:1">
      <c r="A1" t="s">
        <v>315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tint="0.39997558519241921"/>
  </sheetPr>
  <dimension ref="A1:S20"/>
  <sheetViews>
    <sheetView topLeftCell="H1" zoomScale="145" zoomScaleNormal="145" workbookViewId="0">
      <pane ySplit="1" topLeftCell="A2" activePane="bottomLeft" state="frozen"/>
      <selection pane="bottomLeft" activeCell="M3" sqref="M3"/>
    </sheetView>
  </sheetViews>
  <sheetFormatPr defaultRowHeight="15"/>
  <cols>
    <col min="1" max="1" width="12.5703125" customWidth="1"/>
    <col min="2" max="2" width="11.5703125" customWidth="1"/>
    <col min="3" max="3" width="18.42578125" customWidth="1"/>
    <col min="5" max="5" width="12.28515625" customWidth="1"/>
    <col min="6" max="7" width="13.28515625" customWidth="1"/>
    <col min="8" max="8" width="10.7109375" customWidth="1"/>
    <col min="10" max="10" width="12.7109375" customWidth="1"/>
    <col min="11" max="11" width="13.28515625" customWidth="1"/>
    <col min="13" max="13" width="11.7109375" customWidth="1"/>
    <col min="14" max="14" width="20.5703125" customWidth="1"/>
    <col min="16" max="16" width="12.42578125" customWidth="1"/>
    <col min="17" max="17" width="11.28515625" customWidth="1"/>
    <col min="18" max="18" width="20.5703125" bestFit="1" customWidth="1"/>
    <col min="19" max="19" width="41.28515625" bestFit="1" customWidth="1"/>
  </cols>
  <sheetData>
    <row r="1" spans="1:19">
      <c r="A1" s="1" t="s">
        <v>0</v>
      </c>
      <c r="B1" s="1"/>
      <c r="C1" s="1"/>
      <c r="E1" s="5" t="s">
        <v>8</v>
      </c>
      <c r="F1" s="5" t="s">
        <v>9</v>
      </c>
      <c r="G1" s="5" t="s">
        <v>10</v>
      </c>
      <c r="H1" s="5" t="s">
        <v>11</v>
      </c>
      <c r="J1" s="5" t="s">
        <v>20</v>
      </c>
      <c r="K1" s="5" t="s">
        <v>21</v>
      </c>
      <c r="M1" s="5" t="s">
        <v>28</v>
      </c>
      <c r="N1" s="5" t="s">
        <v>53</v>
      </c>
      <c r="P1" s="5" t="s">
        <v>28</v>
      </c>
      <c r="Q1" s="5" t="s">
        <v>21</v>
      </c>
      <c r="R1" s="5" t="s">
        <v>53</v>
      </c>
      <c r="S1" s="5" t="s">
        <v>32</v>
      </c>
    </row>
    <row r="2" spans="1:19">
      <c r="A2" t="s">
        <v>1</v>
      </c>
      <c r="B2" s="3" t="s">
        <v>3</v>
      </c>
      <c r="C2" s="2" t="s">
        <v>2</v>
      </c>
      <c r="E2" t="s">
        <v>12</v>
      </c>
      <c r="F2" t="s">
        <v>237</v>
      </c>
      <c r="G2" t="s">
        <v>13</v>
      </c>
      <c r="H2" t="str">
        <f>IF(config_BS[[#This Row],[Lv1]]="Assets", "A","LC")</f>
        <v>A</v>
      </c>
      <c r="J2" t="s">
        <v>22</v>
      </c>
      <c r="K2" t="s">
        <v>136</v>
      </c>
      <c r="M2" t="s">
        <v>313</v>
      </c>
      <c r="N2" t="s">
        <v>312</v>
      </c>
      <c r="P2" t="s">
        <v>87</v>
      </c>
      <c r="Q2" t="s">
        <v>54</v>
      </c>
      <c r="R2" t="s">
        <v>71</v>
      </c>
      <c r="S2" s="2" t="s">
        <v>72</v>
      </c>
    </row>
    <row r="3" spans="1:19">
      <c r="A3" t="s">
        <v>4</v>
      </c>
      <c r="B3" s="4" t="s">
        <v>5</v>
      </c>
      <c r="C3" s="2" t="s">
        <v>6</v>
      </c>
      <c r="E3" t="s">
        <v>14</v>
      </c>
      <c r="F3" t="s">
        <v>237</v>
      </c>
      <c r="G3" t="s">
        <v>13</v>
      </c>
      <c r="H3" t="str">
        <f>IF(config_BS[[#This Row],[Lv1]]="Assets", "A","LC")</f>
        <v>A</v>
      </c>
      <c r="J3" t="s">
        <v>23</v>
      </c>
      <c r="K3" t="s">
        <v>26</v>
      </c>
      <c r="M3" t="s">
        <v>29</v>
      </c>
      <c r="N3" t="s">
        <v>138</v>
      </c>
      <c r="P3" t="s">
        <v>88</v>
      </c>
      <c r="Q3" t="s">
        <v>54</v>
      </c>
      <c r="R3" t="s">
        <v>73</v>
      </c>
      <c r="S3" s="2" t="s">
        <v>74</v>
      </c>
    </row>
    <row r="4" spans="1:19">
      <c r="A4" t="s">
        <v>38</v>
      </c>
      <c r="E4" t="s">
        <v>204</v>
      </c>
      <c r="F4" t="s">
        <v>237</v>
      </c>
      <c r="G4" t="s">
        <v>126</v>
      </c>
      <c r="H4" t="str">
        <f>IF(config_BS[[#This Row],[Lv1]]="Assets", "A","LC")</f>
        <v>LC</v>
      </c>
      <c r="J4" t="s">
        <v>24</v>
      </c>
      <c r="K4" t="s">
        <v>26</v>
      </c>
      <c r="M4" t="s">
        <v>30</v>
      </c>
      <c r="N4" t="s">
        <v>31</v>
      </c>
      <c r="P4" t="s">
        <v>89</v>
      </c>
      <c r="Q4" t="s">
        <v>54</v>
      </c>
      <c r="R4" t="s">
        <v>75</v>
      </c>
      <c r="S4" s="2" t="s">
        <v>76</v>
      </c>
    </row>
    <row r="5" spans="1:19">
      <c r="A5" s="5" t="s">
        <v>230</v>
      </c>
      <c r="B5" s="7">
        <v>46023</v>
      </c>
      <c r="C5" s="2" t="s">
        <v>7</v>
      </c>
      <c r="E5" t="s">
        <v>116</v>
      </c>
      <c r="F5" t="s">
        <v>115</v>
      </c>
      <c r="G5" t="s">
        <v>13</v>
      </c>
      <c r="H5" t="str">
        <f>IF(config_BS[[#This Row],[Lv1]]="Assets", "A","LC")</f>
        <v>A</v>
      </c>
      <c r="J5" s="20" t="s">
        <v>137</v>
      </c>
      <c r="K5" s="20" t="s">
        <v>27</v>
      </c>
      <c r="M5" t="s">
        <v>33</v>
      </c>
      <c r="N5" t="s">
        <v>34</v>
      </c>
      <c r="P5" t="s">
        <v>90</v>
      </c>
      <c r="Q5" t="s">
        <v>54</v>
      </c>
      <c r="R5" t="s">
        <v>78</v>
      </c>
      <c r="S5" s="2" t="s">
        <v>79</v>
      </c>
    </row>
    <row r="6" spans="1:19">
      <c r="A6" s="5" t="s">
        <v>231</v>
      </c>
      <c r="B6" s="28">
        <f>const_date_start-1</f>
        <v>46022</v>
      </c>
      <c r="C6" s="31" t="s">
        <v>233</v>
      </c>
      <c r="E6" t="s">
        <v>208</v>
      </c>
      <c r="F6" t="s">
        <v>115</v>
      </c>
      <c r="G6" t="s">
        <v>13</v>
      </c>
      <c r="H6" t="str">
        <f>IF(config_BS[[#This Row],[Lv1]]="Assets", "A","LC")</f>
        <v>A</v>
      </c>
      <c r="J6" s="20" t="s">
        <v>162</v>
      </c>
      <c r="K6" s="20" t="s">
        <v>27</v>
      </c>
      <c r="M6" t="s">
        <v>35</v>
      </c>
      <c r="N6" t="s">
        <v>36</v>
      </c>
      <c r="P6" t="s">
        <v>95</v>
      </c>
      <c r="Q6" t="s">
        <v>54</v>
      </c>
      <c r="R6" s="19" t="s">
        <v>94</v>
      </c>
      <c r="S6" s="2" t="s">
        <v>77</v>
      </c>
    </row>
    <row r="7" spans="1:19">
      <c r="E7" t="s">
        <v>118</v>
      </c>
      <c r="F7" t="s">
        <v>133</v>
      </c>
      <c r="G7" t="s">
        <v>13</v>
      </c>
      <c r="H7" t="str">
        <f>IF(config_BS[[#This Row],[Lv1]]="Assets", "A","LC")</f>
        <v>A</v>
      </c>
      <c r="J7" t="s">
        <v>25</v>
      </c>
      <c r="K7" t="s">
        <v>27</v>
      </c>
      <c r="M7" t="s">
        <v>37</v>
      </c>
      <c r="N7" t="s">
        <v>311</v>
      </c>
      <c r="P7" t="s">
        <v>109</v>
      </c>
      <c r="Q7" t="s">
        <v>81</v>
      </c>
      <c r="R7" t="s">
        <v>57</v>
      </c>
      <c r="S7" s="2" t="s">
        <v>58</v>
      </c>
    </row>
    <row r="8" spans="1:19">
      <c r="E8" t="s">
        <v>198</v>
      </c>
      <c r="F8" t="s">
        <v>133</v>
      </c>
      <c r="G8" t="s">
        <v>13</v>
      </c>
      <c r="H8" t="str">
        <f>IF(config_BS[[#This Row],[Lv1]]="Assets", "A","LC")</f>
        <v>A</v>
      </c>
      <c r="P8" t="s">
        <v>110</v>
      </c>
      <c r="Q8" t="s">
        <v>81</v>
      </c>
      <c r="R8" t="s">
        <v>65</v>
      </c>
      <c r="S8" s="2" t="s">
        <v>66</v>
      </c>
    </row>
    <row r="9" spans="1:19">
      <c r="E9" t="s">
        <v>201</v>
      </c>
      <c r="F9" t="s">
        <v>133</v>
      </c>
      <c r="G9" t="s">
        <v>13</v>
      </c>
      <c r="H9" t="str">
        <f>IF(config_BS[[#This Row],[Lv1]]="Assets", "A","LC")</f>
        <v>A</v>
      </c>
      <c r="P9" t="s">
        <v>82</v>
      </c>
      <c r="Q9" t="s">
        <v>80</v>
      </c>
      <c r="R9" t="s">
        <v>55</v>
      </c>
      <c r="S9" s="2" t="s">
        <v>56</v>
      </c>
    </row>
    <row r="10" spans="1:19">
      <c r="E10" t="s">
        <v>119</v>
      </c>
      <c r="F10" t="s">
        <v>122</v>
      </c>
      <c r="G10" t="s">
        <v>13</v>
      </c>
      <c r="H10" t="str">
        <f>IF(config_BS[[#This Row],[Lv1]]="Assets", "A","LC")</f>
        <v>A</v>
      </c>
      <c r="P10" t="s">
        <v>83</v>
      </c>
      <c r="Q10" t="s">
        <v>80</v>
      </c>
      <c r="R10" t="s">
        <v>59</v>
      </c>
      <c r="S10" s="2" t="s">
        <v>60</v>
      </c>
    </row>
    <row r="11" spans="1:19">
      <c r="E11" t="s">
        <v>169</v>
      </c>
      <c r="F11" t="s">
        <v>122</v>
      </c>
      <c r="G11" t="s">
        <v>13</v>
      </c>
      <c r="H11" t="str">
        <f>IF(config_BS[[#This Row],[Lv1]]="Assets", "A","LC")</f>
        <v>A</v>
      </c>
      <c r="P11" t="s">
        <v>84</v>
      </c>
      <c r="Q11" t="s">
        <v>80</v>
      </c>
      <c r="R11" t="s">
        <v>61</v>
      </c>
      <c r="S11" s="2" t="s">
        <v>62</v>
      </c>
    </row>
    <row r="12" spans="1:19">
      <c r="E12" t="s">
        <v>124</v>
      </c>
      <c r="F12" t="s">
        <v>123</v>
      </c>
      <c r="G12" t="s">
        <v>13</v>
      </c>
      <c r="H12" t="str">
        <f>IF(config_BS[[#This Row],[Lv1]]="Assets", "A","LC")</f>
        <v>A</v>
      </c>
      <c r="M12" t="s">
        <v>128</v>
      </c>
      <c r="P12" t="s">
        <v>85</v>
      </c>
      <c r="Q12" t="s">
        <v>80</v>
      </c>
      <c r="R12" t="s">
        <v>63</v>
      </c>
      <c r="S12" s="2" t="s">
        <v>64</v>
      </c>
    </row>
    <row r="13" spans="1:19">
      <c r="E13" t="s">
        <v>172</v>
      </c>
      <c r="F13" t="s">
        <v>188</v>
      </c>
      <c r="G13" t="s">
        <v>13</v>
      </c>
      <c r="H13" t="str">
        <f>IF(config_BS[[#This Row],[Lv1]]="Assets", "A","LC")</f>
        <v>A</v>
      </c>
      <c r="P13" t="s">
        <v>86</v>
      </c>
      <c r="Q13" t="s">
        <v>80</v>
      </c>
      <c r="R13" t="s">
        <v>67</v>
      </c>
      <c r="S13" s="2" t="s">
        <v>68</v>
      </c>
    </row>
    <row r="14" spans="1:19">
      <c r="E14" t="s">
        <v>117</v>
      </c>
      <c r="F14" t="s">
        <v>115</v>
      </c>
      <c r="G14" t="s">
        <v>126</v>
      </c>
      <c r="H14" t="str">
        <f>IF(config_BS[[#This Row],[Lv1]]="Assets", "A","LC")</f>
        <v>LC</v>
      </c>
      <c r="P14" t="s">
        <v>114</v>
      </c>
      <c r="Q14" t="s">
        <v>80</v>
      </c>
      <c r="R14" t="s">
        <v>69</v>
      </c>
      <c r="S14" s="2" t="s">
        <v>70</v>
      </c>
    </row>
    <row r="15" spans="1:19">
      <c r="E15" t="s">
        <v>131</v>
      </c>
      <c r="F15" t="s">
        <v>132</v>
      </c>
      <c r="G15" t="s">
        <v>126</v>
      </c>
      <c r="H15" t="str">
        <f>IF(config_BS[[#This Row],[Lv1]]="Assets", "A","LC")</f>
        <v>LC</v>
      </c>
    </row>
    <row r="16" spans="1:19">
      <c r="E16" t="s">
        <v>196</v>
      </c>
      <c r="F16" t="s">
        <v>115</v>
      </c>
      <c r="G16" t="s">
        <v>126</v>
      </c>
      <c r="H16" t="str">
        <f>IF(config_BS[[#This Row],[Lv1]]="Assets", "A","LC")</f>
        <v>LC</v>
      </c>
    </row>
    <row r="17" spans="5:8">
      <c r="E17" t="s">
        <v>135</v>
      </c>
      <c r="F17" t="s">
        <v>115</v>
      </c>
      <c r="G17" t="s">
        <v>126</v>
      </c>
      <c r="H17" t="str">
        <f>IF(config_BS[[#This Row],[Lv1]]="Assets", "A","LC")</f>
        <v>LC</v>
      </c>
    </row>
    <row r="18" spans="5:8">
      <c r="E18" t="s">
        <v>18</v>
      </c>
      <c r="F18" t="s">
        <v>19</v>
      </c>
      <c r="G18" t="s">
        <v>17</v>
      </c>
      <c r="H18" t="str">
        <f>IF(config_BS[[#This Row],[Lv1]]="Assets", "A","LC")</f>
        <v>LC</v>
      </c>
    </row>
    <row r="19" spans="5:8">
      <c r="E19" t="s">
        <v>161</v>
      </c>
      <c r="F19" t="s">
        <v>15</v>
      </c>
      <c r="G19" t="s">
        <v>17</v>
      </c>
      <c r="H19" t="str">
        <f>IF(config_BS[[#This Row],[Lv1]]="Assets", "A","LC")</f>
        <v>LC</v>
      </c>
    </row>
    <row r="20" spans="5:8">
      <c r="E20" t="s">
        <v>16</v>
      </c>
      <c r="F20" t="s">
        <v>15</v>
      </c>
      <c r="G20" t="s">
        <v>17</v>
      </c>
      <c r="H20" t="str">
        <f>IF(config_BS[[#This Row],[Lv1]]="Assets", "A","LC")</f>
        <v>LC</v>
      </c>
    </row>
  </sheetData>
  <phoneticPr fontId="5" type="noConversion"/>
  <dataValidations disablePrompts="1" count="1">
    <dataValidation type="list" allowBlank="1" showInputMessage="1" showErrorMessage="1" sqref="G14:G20 G2:G13" xr:uid="{F683D44A-802D-4F34-82A2-33DE8400CFEA}">
      <formula1>"Assets,Liability,Equity"</formula1>
    </dataValidation>
  </dataValidations>
  <pageMargins left="0.7" right="0.7" top="0.75" bottom="0.75" header="0.3" footer="0.3"/>
  <legacyDrawing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A532F-8FA5-4E8F-8D59-6A27F81FADE1}">
  <sheetPr>
    <tabColor theme="0" tint="-0.249977111117893"/>
  </sheetPr>
  <dimension ref="A1:C28"/>
  <sheetViews>
    <sheetView zoomScale="130" zoomScaleNormal="130" workbookViewId="0">
      <selection activeCell="B22" sqref="B22"/>
    </sheetView>
  </sheetViews>
  <sheetFormatPr defaultRowHeight="15"/>
  <cols>
    <col min="1" max="1" width="12.85546875" customWidth="1"/>
    <col min="2" max="2" width="20.7109375" customWidth="1"/>
    <col min="3" max="3" width="10.140625" customWidth="1"/>
  </cols>
  <sheetData>
    <row r="1" spans="1:3">
      <c r="A1" s="5" t="s">
        <v>164</v>
      </c>
      <c r="B1" s="5" t="s">
        <v>53</v>
      </c>
      <c r="C1" s="5" t="s">
        <v>179</v>
      </c>
    </row>
    <row r="2" spans="1:3">
      <c r="A2" t="s">
        <v>12</v>
      </c>
      <c r="B2" t="s">
        <v>165</v>
      </c>
      <c r="C2" t="s">
        <v>180</v>
      </c>
    </row>
    <row r="3" spans="1:3">
      <c r="A3" t="s">
        <v>14</v>
      </c>
      <c r="B3" t="s">
        <v>166</v>
      </c>
      <c r="C3" t="s">
        <v>180</v>
      </c>
    </row>
    <row r="4" spans="1:3">
      <c r="A4" t="s">
        <v>204</v>
      </c>
      <c r="B4" t="s">
        <v>205</v>
      </c>
      <c r="C4" t="s">
        <v>180</v>
      </c>
    </row>
    <row r="5" spans="1:3">
      <c r="A5" t="s">
        <v>116</v>
      </c>
      <c r="B5" t="s">
        <v>191</v>
      </c>
      <c r="C5" t="s">
        <v>180</v>
      </c>
    </row>
    <row r="6" spans="1:3">
      <c r="A6" t="s">
        <v>208</v>
      </c>
      <c r="B6" t="s">
        <v>209</v>
      </c>
      <c r="C6" t="s">
        <v>180</v>
      </c>
    </row>
    <row r="7" spans="1:3">
      <c r="A7" t="s">
        <v>118</v>
      </c>
      <c r="B7" t="s">
        <v>167</v>
      </c>
      <c r="C7" t="s">
        <v>180</v>
      </c>
    </row>
    <row r="8" spans="1:3">
      <c r="A8" t="s">
        <v>198</v>
      </c>
      <c r="B8" t="s">
        <v>200</v>
      </c>
      <c r="C8" t="s">
        <v>180</v>
      </c>
    </row>
    <row r="9" spans="1:3">
      <c r="A9" t="s">
        <v>201</v>
      </c>
      <c r="B9" t="s">
        <v>202</v>
      </c>
      <c r="C9" t="s">
        <v>180</v>
      </c>
    </row>
    <row r="10" spans="1:3">
      <c r="A10" t="s">
        <v>119</v>
      </c>
      <c r="B10" t="s">
        <v>168</v>
      </c>
      <c r="C10" t="s">
        <v>180</v>
      </c>
    </row>
    <row r="11" spans="1:3">
      <c r="A11" t="s">
        <v>169</v>
      </c>
      <c r="B11" t="s">
        <v>221</v>
      </c>
      <c r="C11" t="s">
        <v>180</v>
      </c>
    </row>
    <row r="12" spans="1:3">
      <c r="A12" t="s">
        <v>124</v>
      </c>
      <c r="B12" t="s">
        <v>170</v>
      </c>
      <c r="C12" t="s">
        <v>180</v>
      </c>
    </row>
    <row r="13" spans="1:3">
      <c r="A13" t="s">
        <v>172</v>
      </c>
      <c r="B13" t="s">
        <v>171</v>
      </c>
      <c r="C13" t="s">
        <v>180</v>
      </c>
    </row>
    <row r="14" spans="1:3">
      <c r="A14" t="s">
        <v>117</v>
      </c>
      <c r="B14" t="s">
        <v>192</v>
      </c>
      <c r="C14" t="s">
        <v>180</v>
      </c>
    </row>
    <row r="15" spans="1:3">
      <c r="A15" t="s">
        <v>130</v>
      </c>
      <c r="B15" t="s">
        <v>173</v>
      </c>
      <c r="C15" t="s">
        <v>180</v>
      </c>
    </row>
    <row r="16" spans="1:3">
      <c r="A16" t="s">
        <v>196</v>
      </c>
      <c r="B16" t="s">
        <v>174</v>
      </c>
      <c r="C16" t="s">
        <v>180</v>
      </c>
    </row>
    <row r="17" spans="1:3">
      <c r="A17" t="s">
        <v>134</v>
      </c>
      <c r="B17" t="s">
        <v>175</v>
      </c>
      <c r="C17" t="s">
        <v>180</v>
      </c>
    </row>
    <row r="18" spans="1:3">
      <c r="A18" t="s">
        <v>18</v>
      </c>
      <c r="B18" t="s">
        <v>176</v>
      </c>
      <c r="C18" t="s">
        <v>180</v>
      </c>
    </row>
    <row r="19" spans="1:3">
      <c r="A19" t="s">
        <v>161</v>
      </c>
      <c r="B19" t="s">
        <v>178</v>
      </c>
      <c r="C19" t="s">
        <v>180</v>
      </c>
    </row>
    <row r="20" spans="1:3">
      <c r="A20" t="s">
        <v>16</v>
      </c>
      <c r="B20" t="s">
        <v>177</v>
      </c>
      <c r="C20" t="s">
        <v>180</v>
      </c>
    </row>
    <row r="21" spans="1:3">
      <c r="A21" t="s">
        <v>237</v>
      </c>
      <c r="B21" t="s">
        <v>238</v>
      </c>
      <c r="C21" t="s">
        <v>181</v>
      </c>
    </row>
    <row r="22" spans="1:3">
      <c r="A22" t="s">
        <v>115</v>
      </c>
      <c r="B22" t="s">
        <v>182</v>
      </c>
      <c r="C22" t="s">
        <v>181</v>
      </c>
    </row>
    <row r="23" spans="1:3">
      <c r="A23" t="s">
        <v>121</v>
      </c>
      <c r="B23" t="s">
        <v>183</v>
      </c>
      <c r="C23" t="s">
        <v>181</v>
      </c>
    </row>
    <row r="24" spans="1:3">
      <c r="A24" t="s">
        <v>122</v>
      </c>
      <c r="B24" t="s">
        <v>184</v>
      </c>
      <c r="C24" t="s">
        <v>181</v>
      </c>
    </row>
    <row r="25" spans="1:3">
      <c r="A25" t="s">
        <v>123</v>
      </c>
      <c r="B25" t="s">
        <v>185</v>
      </c>
      <c r="C25" t="s">
        <v>181</v>
      </c>
    </row>
    <row r="26" spans="1:3">
      <c r="A26" t="s">
        <v>188</v>
      </c>
      <c r="B26" t="s">
        <v>186</v>
      </c>
      <c r="C26" t="s">
        <v>181</v>
      </c>
    </row>
    <row r="27" spans="1:3">
      <c r="A27" t="s">
        <v>19</v>
      </c>
      <c r="B27" t="s">
        <v>222</v>
      </c>
      <c r="C27" t="s">
        <v>181</v>
      </c>
    </row>
    <row r="28" spans="1:3">
      <c r="A28" t="s">
        <v>15</v>
      </c>
      <c r="B28" t="s">
        <v>187</v>
      </c>
      <c r="C28" t="s">
        <v>181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src_trx</vt:lpstr>
      <vt:lpstr>src_jnl</vt:lpstr>
      <vt:lpstr>debug</vt:lpstr>
      <vt:lpstr>stmt_BS</vt:lpstr>
      <vt:lpstr>stmt_IS</vt:lpstr>
      <vt:lpstr>config</vt:lpstr>
      <vt:lpstr>dict</vt:lpstr>
      <vt:lpstr>const_date_prior</vt:lpstr>
      <vt:lpstr>const_date_start</vt:lpstr>
      <vt:lpstr>const_default_str</vt:lpstr>
      <vt:lpstr>const_func_ccy</vt:lpstr>
      <vt:lpstr>debug_date_end</vt:lpstr>
      <vt:lpstr>debug_date_start</vt:lpstr>
      <vt:lpstr>stmt_BS_date_end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Yu Wang</cp:lastModifiedBy>
  <dcterms:created xsi:type="dcterms:W3CDTF">2015-06-05T18:17:20Z</dcterms:created>
  <dcterms:modified xsi:type="dcterms:W3CDTF">2026-02-05T07:18:16Z</dcterms:modified>
</cp:coreProperties>
</file>